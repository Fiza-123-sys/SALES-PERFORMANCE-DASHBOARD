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Admin\Downloads\"/>
    </mc:Choice>
  </mc:AlternateContent>
  <xr:revisionPtr revIDLastSave="0" documentId="13_ncr:1_{4DCB9D91-E93D-46F9-B624-E2358BD02ABC}" xr6:coauthVersionLast="47" xr6:coauthVersionMax="47" xr10:uidLastSave="{00000000-0000-0000-0000-000000000000}"/>
  <bookViews>
    <workbookView xWindow="-110" yWindow="-110" windowWidth="19420" windowHeight="10300" activeTab="1" xr2:uid="{00000000-000D-0000-FFFF-FFFF00000000}"/>
  </bookViews>
  <sheets>
    <sheet name="Sheet2" sheetId="3" r:id="rId1"/>
    <sheet name="DASHBOARD" sheetId="2" r:id="rId2"/>
    <sheet name="Sales_Data" sheetId="1" r:id="rId3"/>
  </sheets>
  <definedNames>
    <definedName name="Slicer_Product_Name">#N/A</definedName>
  </definedNames>
  <calcPr calcId="191029"/>
  <pivotCaches>
    <pivotCache cacheId="22"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6" i="3" l="1"/>
  <c r="H27" i="3"/>
  <c r="H28" i="3"/>
  <c r="H29" i="3"/>
  <c r="H30" i="3"/>
  <c r="H31" i="3"/>
  <c r="H32" i="3"/>
  <c r="H33" i="3"/>
  <c r="H34" i="3"/>
  <c r="H35" i="3"/>
  <c r="H36" i="3"/>
  <c r="H37" i="3"/>
  <c r="H38" i="3"/>
  <c r="H39" i="3"/>
  <c r="H40" i="3"/>
  <c r="H41" i="3"/>
  <c r="H42" i="3"/>
  <c r="G38" i="3"/>
  <c r="G39" i="3"/>
  <c r="G40" i="3"/>
  <c r="G41" i="3"/>
  <c r="G42" i="3"/>
  <c r="G27" i="3"/>
  <c r="G28" i="3"/>
  <c r="G29" i="3"/>
  <c r="G30" i="3"/>
  <c r="G31" i="3"/>
  <c r="G32" i="3"/>
  <c r="G33" i="3"/>
  <c r="G34" i="3"/>
  <c r="G35" i="3"/>
  <c r="G36" i="3"/>
  <c r="G37" i="3"/>
  <c r="G26" i="3"/>
</calcChain>
</file>

<file path=xl/sharedStrings.xml><?xml version="1.0" encoding="utf-8"?>
<sst xmlns="http://schemas.openxmlformats.org/spreadsheetml/2006/main" count="2908" uniqueCount="902">
  <si>
    <t>Date</t>
  </si>
  <si>
    <t>Order_ID</t>
  </si>
  <si>
    <t>Region</t>
  </si>
  <si>
    <t>Product_Category</t>
  </si>
  <si>
    <t>Product_Name</t>
  </si>
  <si>
    <t>Sales_Amount</t>
  </si>
  <si>
    <t>Profit</t>
  </si>
  <si>
    <t>2024-07-07</t>
  </si>
  <si>
    <t>ORD0001</t>
  </si>
  <si>
    <t>North</t>
  </si>
  <si>
    <t>Clothing</t>
  </si>
  <si>
    <t>Jacket</t>
  </si>
  <si>
    <t>2024-03-14</t>
  </si>
  <si>
    <t>ORD0002</t>
  </si>
  <si>
    <t>Jeans</t>
  </si>
  <si>
    <t>2024-11-02</t>
  </si>
  <si>
    <t>ORD0003</t>
  </si>
  <si>
    <t>West</t>
  </si>
  <si>
    <t>Grocery</t>
  </si>
  <si>
    <t>Snacks Pack</t>
  </si>
  <si>
    <t>2024-08-20</t>
  </si>
  <si>
    <t>ORD0004</t>
  </si>
  <si>
    <t>T-Shirt</t>
  </si>
  <si>
    <t>2024-05-04</t>
  </si>
  <si>
    <t>ORD0005</t>
  </si>
  <si>
    <t>Cooking Oil</t>
  </si>
  <si>
    <t>2024-02-24</t>
  </si>
  <si>
    <t>ORD0006</t>
  </si>
  <si>
    <t>2024-12-31</t>
  </si>
  <si>
    <t>ORD0007</t>
  </si>
  <si>
    <t>South</t>
  </si>
  <si>
    <t>Electronics</t>
  </si>
  <si>
    <t>Headphones</t>
  </si>
  <si>
    <t>2024-12-25</t>
  </si>
  <si>
    <t>ORD0008</t>
  </si>
  <si>
    <t>ORD0009</t>
  </si>
  <si>
    <t>2024-02-18</t>
  </si>
  <si>
    <t>ORD0010</t>
  </si>
  <si>
    <t>2024-09-10</t>
  </si>
  <si>
    <t>ORD0011</t>
  </si>
  <si>
    <t>Shoes</t>
  </si>
  <si>
    <t>2024-02-21</t>
  </si>
  <si>
    <t>ORD0012</t>
  </si>
  <si>
    <t>Furniture</t>
  </si>
  <si>
    <t>Cupboard</t>
  </si>
  <si>
    <t>2024-06-13</t>
  </si>
  <si>
    <t>ORD0013</t>
  </si>
  <si>
    <t>Table</t>
  </si>
  <si>
    <t>2024-05-15</t>
  </si>
  <si>
    <t>ORD0014</t>
  </si>
  <si>
    <t>Chair</t>
  </si>
  <si>
    <t>2024-07-09</t>
  </si>
  <si>
    <t>ORD0015</t>
  </si>
  <si>
    <t>Tablet</t>
  </si>
  <si>
    <t>2024-09-27</t>
  </si>
  <si>
    <t>ORD0016</t>
  </si>
  <si>
    <t>2024-09-20</t>
  </si>
  <si>
    <t>ORD0017</t>
  </si>
  <si>
    <t>2024-01-24</t>
  </si>
  <si>
    <t>ORD0018</t>
  </si>
  <si>
    <t>East</t>
  </si>
  <si>
    <t>Beverages</t>
  </si>
  <si>
    <t>2024-02-23</t>
  </si>
  <si>
    <t>ORD0019</t>
  </si>
  <si>
    <t>2024-02-13</t>
  </si>
  <si>
    <t>ORD0020</t>
  </si>
  <si>
    <t>2024-07-08</t>
  </si>
  <si>
    <t>ORD0021</t>
  </si>
  <si>
    <t>2024-01-18</t>
  </si>
  <si>
    <t>ORD0022</t>
  </si>
  <si>
    <t>2024-07-31</t>
  </si>
  <si>
    <t>ORD0023</t>
  </si>
  <si>
    <t>2024-08-19</t>
  </si>
  <si>
    <t>ORD0024</t>
  </si>
  <si>
    <t>Smartphone</t>
  </si>
  <si>
    <t>2024-04-22</t>
  </si>
  <si>
    <t>ORD0025</t>
  </si>
  <si>
    <t>Laptop</t>
  </si>
  <si>
    <t>2024-05-20</t>
  </si>
  <si>
    <t>ORD0026</t>
  </si>
  <si>
    <t>2024-05-10</t>
  </si>
  <si>
    <t>ORD0027</t>
  </si>
  <si>
    <t>2024-11-14</t>
  </si>
  <si>
    <t>ORD0028</t>
  </si>
  <si>
    <t>2024-03-29</t>
  </si>
  <si>
    <t>ORD0029</t>
  </si>
  <si>
    <t>2024-04-01</t>
  </si>
  <si>
    <t>ORD0030</t>
  </si>
  <si>
    <t>2024-09-28</t>
  </si>
  <si>
    <t>ORD0031</t>
  </si>
  <si>
    <t>2024-11-18</t>
  </si>
  <si>
    <t>ORD0032</t>
  </si>
  <si>
    <t>Rice Bag</t>
  </si>
  <si>
    <t>2024-10-24</t>
  </si>
  <si>
    <t>ORD0033</t>
  </si>
  <si>
    <t>2024-09-29</t>
  </si>
  <si>
    <t>ORD0034</t>
  </si>
  <si>
    <t>2024-07-23</t>
  </si>
  <si>
    <t>ORD0035</t>
  </si>
  <si>
    <t>2024-08-01</t>
  </si>
  <si>
    <t>ORD0036</t>
  </si>
  <si>
    <t>ORD0037</t>
  </si>
  <si>
    <t>ORD0038</t>
  </si>
  <si>
    <t>2024-10-14</t>
  </si>
  <si>
    <t>ORD0039</t>
  </si>
  <si>
    <t>2024-07-15</t>
  </si>
  <si>
    <t>ORD0040</t>
  </si>
  <si>
    <t>2024-11-16</t>
  </si>
  <si>
    <t>ORD0041</t>
  </si>
  <si>
    <t>2024-05-14</t>
  </si>
  <si>
    <t>ORD0042</t>
  </si>
  <si>
    <t>Desk</t>
  </si>
  <si>
    <t>2024-12-16</t>
  </si>
  <si>
    <t>ORD0043</t>
  </si>
  <si>
    <t>2024-08-29</t>
  </si>
  <si>
    <t>ORD0044</t>
  </si>
  <si>
    <t>2024-04-09</t>
  </si>
  <si>
    <t>ORD0045</t>
  </si>
  <si>
    <t>2024-04-08</t>
  </si>
  <si>
    <t>ORD0046</t>
  </si>
  <si>
    <t>2024-10-07</t>
  </si>
  <si>
    <t>ORD0047</t>
  </si>
  <si>
    <t>2024-05-27</t>
  </si>
  <si>
    <t>ORD0048</t>
  </si>
  <si>
    <t>2024-10-03</t>
  </si>
  <si>
    <t>ORD0049</t>
  </si>
  <si>
    <t>2024-06-12</t>
  </si>
  <si>
    <t>ORD0050</t>
  </si>
  <si>
    <t>ORD0051</t>
  </si>
  <si>
    <t>2024-04-07</t>
  </si>
  <si>
    <t>ORD0052</t>
  </si>
  <si>
    <t>2024-12-13</t>
  </si>
  <si>
    <t>ORD0053</t>
  </si>
  <si>
    <t>2024-02-26</t>
  </si>
  <si>
    <t>ORD0054</t>
  </si>
  <si>
    <t>2024-04-02</t>
  </si>
  <si>
    <t>ORD0055</t>
  </si>
  <si>
    <t>2024-01-04</t>
  </si>
  <si>
    <t>ORD0056</t>
  </si>
  <si>
    <t>2024-08-09</t>
  </si>
  <si>
    <t>ORD0057</t>
  </si>
  <si>
    <t>2024-02-29</t>
  </si>
  <si>
    <t>ORD0058</t>
  </si>
  <si>
    <t>2024-06-06</t>
  </si>
  <si>
    <t>ORD0059</t>
  </si>
  <si>
    <t>2024-12-04</t>
  </si>
  <si>
    <t>ORD0060</t>
  </si>
  <si>
    <t>2024-02-06</t>
  </si>
  <si>
    <t>ORD0061</t>
  </si>
  <si>
    <t>2024-06-26</t>
  </si>
  <si>
    <t>ORD0062</t>
  </si>
  <si>
    <t>2024-05-19</t>
  </si>
  <si>
    <t>ORD0063</t>
  </si>
  <si>
    <t>2024-10-04</t>
  </si>
  <si>
    <t>ORD0064</t>
  </si>
  <si>
    <t>2024-01-25</t>
  </si>
  <si>
    <t>ORD0065</t>
  </si>
  <si>
    <t>2024-12-03</t>
  </si>
  <si>
    <t>ORD0066</t>
  </si>
  <si>
    <t>ORD0067</t>
  </si>
  <si>
    <t>2024-02-25</t>
  </si>
  <si>
    <t>ORD0068</t>
  </si>
  <si>
    <t>2024-12-08</t>
  </si>
  <si>
    <t>ORD0069</t>
  </si>
  <si>
    <t>2024-06-01</t>
  </si>
  <si>
    <t>ORD0070</t>
  </si>
  <si>
    <t>2024-09-04</t>
  </si>
  <si>
    <t>ORD0071</t>
  </si>
  <si>
    <t>2024-09-13</t>
  </si>
  <si>
    <t>ORD0072</t>
  </si>
  <si>
    <t>2024-10-23</t>
  </si>
  <si>
    <t>ORD0073</t>
  </si>
  <si>
    <t>2024-01-01</t>
  </si>
  <si>
    <t>ORD0074</t>
  </si>
  <si>
    <t>ORD0075</t>
  </si>
  <si>
    <t>2024-12-11</t>
  </si>
  <si>
    <t>ORD0076</t>
  </si>
  <si>
    <t>2024-06-14</t>
  </si>
  <si>
    <t>ORD0077</t>
  </si>
  <si>
    <t>ORD0078</t>
  </si>
  <si>
    <t>2024-09-09</t>
  </si>
  <si>
    <t>ORD0079</t>
  </si>
  <si>
    <t>2024-02-16</t>
  </si>
  <si>
    <t>ORD0080</t>
  </si>
  <si>
    <t>2024-09-21</t>
  </si>
  <si>
    <t>ORD0081</t>
  </si>
  <si>
    <t>2024-04-12</t>
  </si>
  <si>
    <t>ORD0082</t>
  </si>
  <si>
    <t>2024-02-14</t>
  </si>
  <si>
    <t>ORD0083</t>
  </si>
  <si>
    <t>2024-01-16</t>
  </si>
  <si>
    <t>ORD0084</t>
  </si>
  <si>
    <t>2024-10-17</t>
  </si>
  <si>
    <t>ORD0085</t>
  </si>
  <si>
    <t>2024-10-09</t>
  </si>
  <si>
    <t>ORD0086</t>
  </si>
  <si>
    <t>2024-01-29</t>
  </si>
  <si>
    <t>ORD0087</t>
  </si>
  <si>
    <t>2024-11-29</t>
  </si>
  <si>
    <t>ORD0088</t>
  </si>
  <si>
    <t>2024-10-01</t>
  </si>
  <si>
    <t>ORD0089</t>
  </si>
  <si>
    <t>2024-04-18</t>
  </si>
  <si>
    <t>ORD0090</t>
  </si>
  <si>
    <t>2024-09-26</t>
  </si>
  <si>
    <t>ORD0091</t>
  </si>
  <si>
    <t>ORD0092</t>
  </si>
  <si>
    <t>2024-12-15</t>
  </si>
  <si>
    <t>ORD0093</t>
  </si>
  <si>
    <t>2024-07-06</t>
  </si>
  <si>
    <t>ORD0094</t>
  </si>
  <si>
    <t>2024-12-29</t>
  </si>
  <si>
    <t>ORD0095</t>
  </si>
  <si>
    <t>2024-04-19</t>
  </si>
  <si>
    <t>ORD0096</t>
  </si>
  <si>
    <t>2024-09-23</t>
  </si>
  <si>
    <t>ORD0097</t>
  </si>
  <si>
    <t>2024-01-27</t>
  </si>
  <si>
    <t>ORD0098</t>
  </si>
  <si>
    <t>ORD0099</t>
  </si>
  <si>
    <t>2024-05-21</t>
  </si>
  <si>
    <t>ORD0100</t>
  </si>
  <si>
    <t>2024-01-21</t>
  </si>
  <si>
    <t>ORD0101</t>
  </si>
  <si>
    <t>ORD0102</t>
  </si>
  <si>
    <t>ORD0103</t>
  </si>
  <si>
    <t>2024-01-22</t>
  </si>
  <si>
    <t>ORD0104</t>
  </si>
  <si>
    <t>2024-03-22</t>
  </si>
  <si>
    <t>ORD0105</t>
  </si>
  <si>
    <t>2024-01-17</t>
  </si>
  <si>
    <t>ORD0106</t>
  </si>
  <si>
    <t>ORD0107</t>
  </si>
  <si>
    <t>2024-11-04</t>
  </si>
  <si>
    <t>ORD0108</t>
  </si>
  <si>
    <t>ORD0109</t>
  </si>
  <si>
    <t>2024-02-09</t>
  </si>
  <si>
    <t>ORD0110</t>
  </si>
  <si>
    <t>2024-01-06</t>
  </si>
  <si>
    <t>ORD0111</t>
  </si>
  <si>
    <t>ORD0112</t>
  </si>
  <si>
    <t>2024-11-10</t>
  </si>
  <si>
    <t>ORD0113</t>
  </si>
  <si>
    <t>ORD0114</t>
  </si>
  <si>
    <t>ORD0115</t>
  </si>
  <si>
    <t>2024-08-24</t>
  </si>
  <si>
    <t>ORD0116</t>
  </si>
  <si>
    <t>2024-05-24</t>
  </si>
  <si>
    <t>ORD0117</t>
  </si>
  <si>
    <t>2024-04-28</t>
  </si>
  <si>
    <t>ORD0118</t>
  </si>
  <si>
    <t>2024-06-07</t>
  </si>
  <si>
    <t>ORD0119</t>
  </si>
  <si>
    <t>2024-08-31</t>
  </si>
  <si>
    <t>ORD0120</t>
  </si>
  <si>
    <t>2024-08-27</t>
  </si>
  <si>
    <t>ORD0121</t>
  </si>
  <si>
    <t>2024-01-10</t>
  </si>
  <si>
    <t>ORD0122</t>
  </si>
  <si>
    <t>2024-06-05</t>
  </si>
  <si>
    <t>ORD0123</t>
  </si>
  <si>
    <t>2024-02-02</t>
  </si>
  <si>
    <t>ORD0124</t>
  </si>
  <si>
    <t>ORD0125</t>
  </si>
  <si>
    <t>2024-12-10</t>
  </si>
  <si>
    <t>ORD0126</t>
  </si>
  <si>
    <t>2024-08-28</t>
  </si>
  <si>
    <t>ORD0127</t>
  </si>
  <si>
    <t>ORD0128</t>
  </si>
  <si>
    <t>2024-02-07</t>
  </si>
  <si>
    <t>ORD0129</t>
  </si>
  <si>
    <t>2024-03-28</t>
  </si>
  <si>
    <t>ORD0130</t>
  </si>
  <si>
    <t>ORD0131</t>
  </si>
  <si>
    <t>2024-02-05</t>
  </si>
  <si>
    <t>ORD0132</t>
  </si>
  <si>
    <t>2024-08-25</t>
  </si>
  <si>
    <t>ORD0133</t>
  </si>
  <si>
    <t>ORD0134</t>
  </si>
  <si>
    <t>ORD0135</t>
  </si>
  <si>
    <t>ORD0136</t>
  </si>
  <si>
    <t>2024-06-20</t>
  </si>
  <si>
    <t>ORD0137</t>
  </si>
  <si>
    <t>2024-12-01</t>
  </si>
  <si>
    <t>ORD0138</t>
  </si>
  <si>
    <t>2024-11-08</t>
  </si>
  <si>
    <t>ORD0139</t>
  </si>
  <si>
    <t>2024-10-25</t>
  </si>
  <si>
    <t>ORD0140</t>
  </si>
  <si>
    <t>ORD0141</t>
  </si>
  <si>
    <t>ORD0142</t>
  </si>
  <si>
    <t>ORD0143</t>
  </si>
  <si>
    <t>ORD0144</t>
  </si>
  <si>
    <t>2024-02-04</t>
  </si>
  <si>
    <t>ORD0145</t>
  </si>
  <si>
    <t>ORD0146</t>
  </si>
  <si>
    <t>2024-07-21</t>
  </si>
  <si>
    <t>ORD0147</t>
  </si>
  <si>
    <t>2024-06-15</t>
  </si>
  <si>
    <t>ORD0148</t>
  </si>
  <si>
    <t>ORD0149</t>
  </si>
  <si>
    <t>ORD0150</t>
  </si>
  <si>
    <t>2024-04-11</t>
  </si>
  <si>
    <t>ORD0151</t>
  </si>
  <si>
    <t>2024-09-25</t>
  </si>
  <si>
    <t>ORD0152</t>
  </si>
  <si>
    <t>2024-08-17</t>
  </si>
  <si>
    <t>ORD0153</t>
  </si>
  <si>
    <t>2024-10-20</t>
  </si>
  <si>
    <t>ORD0154</t>
  </si>
  <si>
    <t>2024-12-20</t>
  </si>
  <si>
    <t>ORD0155</t>
  </si>
  <si>
    <t>2024-10-15</t>
  </si>
  <si>
    <t>ORD0156</t>
  </si>
  <si>
    <t>ORD0157</t>
  </si>
  <si>
    <t>2024-08-21</t>
  </si>
  <si>
    <t>ORD0158</t>
  </si>
  <si>
    <t>ORD0159</t>
  </si>
  <si>
    <t>2024-01-03</t>
  </si>
  <si>
    <t>ORD0160</t>
  </si>
  <si>
    <t>ORD0161</t>
  </si>
  <si>
    <t>2024-07-13</t>
  </si>
  <si>
    <t>ORD0162</t>
  </si>
  <si>
    <t>2024-08-23</t>
  </si>
  <si>
    <t>ORD0163</t>
  </si>
  <si>
    <t>ORD0164</t>
  </si>
  <si>
    <t>2024-05-17</t>
  </si>
  <si>
    <t>ORD0165</t>
  </si>
  <si>
    <t>ORD0166</t>
  </si>
  <si>
    <t>2024-12-09</t>
  </si>
  <si>
    <t>ORD0167</t>
  </si>
  <si>
    <t>ORD0168</t>
  </si>
  <si>
    <t>ORD0169</t>
  </si>
  <si>
    <t>2024-11-09</t>
  </si>
  <si>
    <t>ORD0170</t>
  </si>
  <si>
    <t>2024-12-12</t>
  </si>
  <si>
    <t>ORD0171</t>
  </si>
  <si>
    <t>2024-04-21</t>
  </si>
  <si>
    <t>ORD0172</t>
  </si>
  <si>
    <t>2024-02-20</t>
  </si>
  <si>
    <t>ORD0173</t>
  </si>
  <si>
    <t>ORD0174</t>
  </si>
  <si>
    <t>ORD0175</t>
  </si>
  <si>
    <t>2024-08-08</t>
  </si>
  <si>
    <t>ORD0176</t>
  </si>
  <si>
    <t>2024-06-27</t>
  </si>
  <si>
    <t>ORD0177</t>
  </si>
  <si>
    <t>ORD0178</t>
  </si>
  <si>
    <t>2024-01-20</t>
  </si>
  <si>
    <t>ORD0179</t>
  </si>
  <si>
    <t>2024-01-19</t>
  </si>
  <si>
    <t>ORD0180</t>
  </si>
  <si>
    <t>ORD0181</t>
  </si>
  <si>
    <t>ORD0182</t>
  </si>
  <si>
    <t>ORD0183</t>
  </si>
  <si>
    <t>2024-11-28</t>
  </si>
  <si>
    <t>ORD0184</t>
  </si>
  <si>
    <t>2024-06-04</t>
  </si>
  <si>
    <t>ORD0185</t>
  </si>
  <si>
    <t>ORD0186</t>
  </si>
  <si>
    <t>ORD0187</t>
  </si>
  <si>
    <t>2024-07-03</t>
  </si>
  <si>
    <t>ORD0188</t>
  </si>
  <si>
    <t>2024-09-12</t>
  </si>
  <si>
    <t>ORD0189</t>
  </si>
  <si>
    <t>2024-01-05</t>
  </si>
  <si>
    <t>ORD0190</t>
  </si>
  <si>
    <t>ORD0191</t>
  </si>
  <si>
    <t>2024-04-03</t>
  </si>
  <si>
    <t>ORD0192</t>
  </si>
  <si>
    <t>2024-05-06</t>
  </si>
  <si>
    <t>ORD0193</t>
  </si>
  <si>
    <t>ORD0194</t>
  </si>
  <si>
    <t>2024-05-01</t>
  </si>
  <si>
    <t>ORD0195</t>
  </si>
  <si>
    <t>2024-07-02</t>
  </si>
  <si>
    <t>ORD0196</t>
  </si>
  <si>
    <t>2024-08-30</t>
  </si>
  <si>
    <t>ORD0197</t>
  </si>
  <si>
    <t>2024-06-21</t>
  </si>
  <si>
    <t>ORD0198</t>
  </si>
  <si>
    <t>ORD0199</t>
  </si>
  <si>
    <t>2024-03-13</t>
  </si>
  <si>
    <t>ORD0200</t>
  </si>
  <si>
    <t>2024-03-09</t>
  </si>
  <si>
    <t>ORD0201</t>
  </si>
  <si>
    <t>2024-08-13</t>
  </si>
  <si>
    <t>ORD0202</t>
  </si>
  <si>
    <t>2024-06-22</t>
  </si>
  <si>
    <t>ORD0203</t>
  </si>
  <si>
    <t>2024-06-29</t>
  </si>
  <si>
    <t>ORD0204</t>
  </si>
  <si>
    <t>ORD0205</t>
  </si>
  <si>
    <t>2024-04-30</t>
  </si>
  <si>
    <t>ORD0206</t>
  </si>
  <si>
    <t>ORD0207</t>
  </si>
  <si>
    <t>ORD0208</t>
  </si>
  <si>
    <t>2024-11-26</t>
  </si>
  <si>
    <t>ORD0209</t>
  </si>
  <si>
    <t>ORD0210</t>
  </si>
  <si>
    <t>ORD0211</t>
  </si>
  <si>
    <t>2024-06-19</t>
  </si>
  <si>
    <t>ORD0212</t>
  </si>
  <si>
    <t>ORD0213</t>
  </si>
  <si>
    <t>2024-01-13</t>
  </si>
  <si>
    <t>ORD0214</t>
  </si>
  <si>
    <t>2024-06-10</t>
  </si>
  <si>
    <t>ORD0215</t>
  </si>
  <si>
    <t>2024-03-25</t>
  </si>
  <si>
    <t>ORD0216</t>
  </si>
  <si>
    <t>2024-07-01</t>
  </si>
  <si>
    <t>ORD0217</t>
  </si>
  <si>
    <t>ORD0218</t>
  </si>
  <si>
    <t>2024-05-26</t>
  </si>
  <si>
    <t>ORD0219</t>
  </si>
  <si>
    <t>2024-09-11</t>
  </si>
  <si>
    <t>ORD0220</t>
  </si>
  <si>
    <t>2024-10-29</t>
  </si>
  <si>
    <t>ORD0221</t>
  </si>
  <si>
    <t>ORD0222</t>
  </si>
  <si>
    <t>ORD0223</t>
  </si>
  <si>
    <t>2024-11-01</t>
  </si>
  <si>
    <t>ORD0224</t>
  </si>
  <si>
    <t>2024-04-25</t>
  </si>
  <si>
    <t>ORD0225</t>
  </si>
  <si>
    <t>ORD0226</t>
  </si>
  <si>
    <t>2024-12-24</t>
  </si>
  <si>
    <t>ORD0227</t>
  </si>
  <si>
    <t>ORD0228</t>
  </si>
  <si>
    <t>2024-04-24</t>
  </si>
  <si>
    <t>ORD0229</t>
  </si>
  <si>
    <t>2024-11-25</t>
  </si>
  <si>
    <t>ORD0230</t>
  </si>
  <si>
    <t>2024-08-07</t>
  </si>
  <si>
    <t>ORD0231</t>
  </si>
  <si>
    <t>ORD0232</t>
  </si>
  <si>
    <t>ORD0233</t>
  </si>
  <si>
    <t>2024-06-24</t>
  </si>
  <si>
    <t>ORD0234</t>
  </si>
  <si>
    <t>2024-05-18</t>
  </si>
  <si>
    <t>ORD0235</t>
  </si>
  <si>
    <t>2024-05-31</t>
  </si>
  <si>
    <t>ORD0236</t>
  </si>
  <si>
    <t>2024-09-14</t>
  </si>
  <si>
    <t>ORD0237</t>
  </si>
  <si>
    <t>ORD0238</t>
  </si>
  <si>
    <t>ORD0239</t>
  </si>
  <si>
    <t>2024-09-19</t>
  </si>
  <si>
    <t>ORD0240</t>
  </si>
  <si>
    <t>2024-01-11</t>
  </si>
  <si>
    <t>ORD0241</t>
  </si>
  <si>
    <t>ORD0242</t>
  </si>
  <si>
    <t>2024-01-08</t>
  </si>
  <si>
    <t>ORD0243</t>
  </si>
  <si>
    <t>2024-02-03</t>
  </si>
  <si>
    <t>ORD0244</t>
  </si>
  <si>
    <t>2024-01-07</t>
  </si>
  <si>
    <t>ORD0245</t>
  </si>
  <si>
    <t>2024-03-16</t>
  </si>
  <si>
    <t>ORD0246</t>
  </si>
  <si>
    <t>2024-08-15</t>
  </si>
  <si>
    <t>ORD0247</t>
  </si>
  <si>
    <t>2024-04-14</t>
  </si>
  <si>
    <t>ORD0248</t>
  </si>
  <si>
    <t>ORD0249</t>
  </si>
  <si>
    <t>2024-01-02</t>
  </si>
  <si>
    <t>ORD0250</t>
  </si>
  <si>
    <t>2024-05-09</t>
  </si>
  <si>
    <t>ORD0251</t>
  </si>
  <si>
    <t>ORD0252</t>
  </si>
  <si>
    <t>ORD0253</t>
  </si>
  <si>
    <t>2024-11-23</t>
  </si>
  <si>
    <t>ORD0254</t>
  </si>
  <si>
    <t>ORD0255</t>
  </si>
  <si>
    <t>2024-09-22</t>
  </si>
  <si>
    <t>ORD0256</t>
  </si>
  <si>
    <t>ORD0257</t>
  </si>
  <si>
    <t>ORD0258</t>
  </si>
  <si>
    <t>2024-05-28</t>
  </si>
  <si>
    <t>ORD0259</t>
  </si>
  <si>
    <t>2024-04-16</t>
  </si>
  <si>
    <t>ORD0260</t>
  </si>
  <si>
    <t>ORD0261</t>
  </si>
  <si>
    <t>ORD0262</t>
  </si>
  <si>
    <t>2024-02-19</t>
  </si>
  <si>
    <t>ORD0263</t>
  </si>
  <si>
    <t>2024-12-28</t>
  </si>
  <si>
    <t>ORD0264</t>
  </si>
  <si>
    <t>ORD0265</t>
  </si>
  <si>
    <t>2024-06-02</t>
  </si>
  <si>
    <t>ORD0266</t>
  </si>
  <si>
    <t>ORD0267</t>
  </si>
  <si>
    <t>2024-06-28</t>
  </si>
  <si>
    <t>ORD0268</t>
  </si>
  <si>
    <t>ORD0269</t>
  </si>
  <si>
    <t>ORD0270</t>
  </si>
  <si>
    <t>ORD0271</t>
  </si>
  <si>
    <t>ORD0272</t>
  </si>
  <si>
    <t>2024-02-12</t>
  </si>
  <si>
    <t>ORD0273</t>
  </si>
  <si>
    <t>2024-07-26</t>
  </si>
  <si>
    <t>ORD0274</t>
  </si>
  <si>
    <t>2024-03-05</t>
  </si>
  <si>
    <t>ORD0275</t>
  </si>
  <si>
    <t>ORD0276</t>
  </si>
  <si>
    <t>ORD0277</t>
  </si>
  <si>
    <t>2024-10-18</t>
  </si>
  <si>
    <t>ORD0278</t>
  </si>
  <si>
    <t>2024-02-01</t>
  </si>
  <si>
    <t>ORD0279</t>
  </si>
  <si>
    <t>ORD0280</t>
  </si>
  <si>
    <t>ORD0281</t>
  </si>
  <si>
    <t>2024-03-03</t>
  </si>
  <si>
    <t>ORD0282</t>
  </si>
  <si>
    <t>ORD0283</t>
  </si>
  <si>
    <t>2024-05-22</t>
  </si>
  <si>
    <t>ORD0284</t>
  </si>
  <si>
    <t>2024-10-16</t>
  </si>
  <si>
    <t>ORD0285</t>
  </si>
  <si>
    <t>2024-05-05</t>
  </si>
  <si>
    <t>ORD0286</t>
  </si>
  <si>
    <t>ORD0287</t>
  </si>
  <si>
    <t>2024-10-02</t>
  </si>
  <si>
    <t>ORD0288</t>
  </si>
  <si>
    <t>2024-06-30</t>
  </si>
  <si>
    <t>ORD0289</t>
  </si>
  <si>
    <t>ORD0290</t>
  </si>
  <si>
    <t>ORD0291</t>
  </si>
  <si>
    <t>2024-03-07</t>
  </si>
  <si>
    <t>ORD0292</t>
  </si>
  <si>
    <t>2024-09-30</t>
  </si>
  <si>
    <t>ORD0293</t>
  </si>
  <si>
    <t>2024-04-27</t>
  </si>
  <si>
    <t>ORD0294</t>
  </si>
  <si>
    <t>ORD0295</t>
  </si>
  <si>
    <t>2024-08-26</t>
  </si>
  <si>
    <t>ORD0296</t>
  </si>
  <si>
    <t>ORD0297</t>
  </si>
  <si>
    <t>ORD0298</t>
  </si>
  <si>
    <t>ORD0299</t>
  </si>
  <si>
    <t>2024-10-08</t>
  </si>
  <si>
    <t>ORD0300</t>
  </si>
  <si>
    <t>ORD0301</t>
  </si>
  <si>
    <t>2024-04-26</t>
  </si>
  <si>
    <t>ORD0302</t>
  </si>
  <si>
    <t>2024-03-27</t>
  </si>
  <si>
    <t>ORD0303</t>
  </si>
  <si>
    <t>2024-07-10</t>
  </si>
  <si>
    <t>ORD0304</t>
  </si>
  <si>
    <t>ORD0305</t>
  </si>
  <si>
    <t>ORD0306</t>
  </si>
  <si>
    <t>2024-09-08</t>
  </si>
  <si>
    <t>ORD0307</t>
  </si>
  <si>
    <t>ORD0308</t>
  </si>
  <si>
    <t>ORD0309</t>
  </si>
  <si>
    <t>2024-04-20</t>
  </si>
  <si>
    <t>ORD0310</t>
  </si>
  <si>
    <t>2024-05-03</t>
  </si>
  <si>
    <t>ORD0311</t>
  </si>
  <si>
    <t>ORD0312</t>
  </si>
  <si>
    <t>ORD0313</t>
  </si>
  <si>
    <t>ORD0314</t>
  </si>
  <si>
    <t>ORD0315</t>
  </si>
  <si>
    <t>ORD0316</t>
  </si>
  <si>
    <t>2024-03-26</t>
  </si>
  <si>
    <t>ORD0317</t>
  </si>
  <si>
    <t>ORD0318</t>
  </si>
  <si>
    <t>ORD0319</t>
  </si>
  <si>
    <t>ORD0320</t>
  </si>
  <si>
    <t>ORD0321</t>
  </si>
  <si>
    <t>2024-09-06</t>
  </si>
  <si>
    <t>ORD0322</t>
  </si>
  <si>
    <t>2024-04-04</t>
  </si>
  <si>
    <t>ORD0323</t>
  </si>
  <si>
    <t>ORD0324</t>
  </si>
  <si>
    <t>ORD0325</t>
  </si>
  <si>
    <t>2024-12-23</t>
  </si>
  <si>
    <t>ORD0326</t>
  </si>
  <si>
    <t>ORD0327</t>
  </si>
  <si>
    <t>2024-06-23</t>
  </si>
  <si>
    <t>ORD0328</t>
  </si>
  <si>
    <t>ORD0329</t>
  </si>
  <si>
    <t>ORD0330</t>
  </si>
  <si>
    <t>ORD0331</t>
  </si>
  <si>
    <t>ORD0332</t>
  </si>
  <si>
    <t>2024-07-05</t>
  </si>
  <si>
    <t>ORD0333</t>
  </si>
  <si>
    <t>2024-06-08</t>
  </si>
  <si>
    <t>ORD0334</t>
  </si>
  <si>
    <t>ORD0335</t>
  </si>
  <si>
    <t>2024-04-13</t>
  </si>
  <si>
    <t>ORD0336</t>
  </si>
  <si>
    <t>2024-05-13</t>
  </si>
  <si>
    <t>ORD0337</t>
  </si>
  <si>
    <t>ORD0338</t>
  </si>
  <si>
    <t>ORD0339</t>
  </si>
  <si>
    <t>ORD0340</t>
  </si>
  <si>
    <t>2024-06-25</t>
  </si>
  <si>
    <t>ORD0341</t>
  </si>
  <si>
    <t>ORD0342</t>
  </si>
  <si>
    <t>2024-12-27</t>
  </si>
  <si>
    <t>ORD0343</t>
  </si>
  <si>
    <t>2024-12-17</t>
  </si>
  <si>
    <t>ORD0344</t>
  </si>
  <si>
    <t>2024-09-18</t>
  </si>
  <si>
    <t>ORD0345</t>
  </si>
  <si>
    <t>2024-09-03</t>
  </si>
  <si>
    <t>ORD0346</t>
  </si>
  <si>
    <t>ORD0347</t>
  </si>
  <si>
    <t>ORD0348</t>
  </si>
  <si>
    <t>ORD0349</t>
  </si>
  <si>
    <t>2024-03-08</t>
  </si>
  <si>
    <t>ORD0350</t>
  </si>
  <si>
    <t>2024-01-23</t>
  </si>
  <si>
    <t>ORD0351</t>
  </si>
  <si>
    <t>ORD0352</t>
  </si>
  <si>
    <t>ORD0353</t>
  </si>
  <si>
    <t>2024-05-07</t>
  </si>
  <si>
    <t>ORD0354</t>
  </si>
  <si>
    <t>ORD0355</t>
  </si>
  <si>
    <t>ORD0356</t>
  </si>
  <si>
    <t>ORD0357</t>
  </si>
  <si>
    <t>2024-11-03</t>
  </si>
  <si>
    <t>ORD0358</t>
  </si>
  <si>
    <t>ORD0359</t>
  </si>
  <si>
    <t>2024-05-08</t>
  </si>
  <si>
    <t>ORD0360</t>
  </si>
  <si>
    <t>ORD0361</t>
  </si>
  <si>
    <t>ORD0362</t>
  </si>
  <si>
    <t>ORD0363</t>
  </si>
  <si>
    <t>ORD0364</t>
  </si>
  <si>
    <t>ORD0365</t>
  </si>
  <si>
    <t>2024-08-11</t>
  </si>
  <si>
    <t>ORD0366</t>
  </si>
  <si>
    <t>2024-04-17</t>
  </si>
  <si>
    <t>ORD0367</t>
  </si>
  <si>
    <t>ORD0368</t>
  </si>
  <si>
    <t>ORD0369</t>
  </si>
  <si>
    <t>ORD0370</t>
  </si>
  <si>
    <t>2024-03-06</t>
  </si>
  <si>
    <t>ORD0371</t>
  </si>
  <si>
    <t>2024-02-27</t>
  </si>
  <si>
    <t>ORD0372</t>
  </si>
  <si>
    <t>ORD0373</t>
  </si>
  <si>
    <t>ORD0374</t>
  </si>
  <si>
    <t>2024-10-10</t>
  </si>
  <si>
    <t>ORD0375</t>
  </si>
  <si>
    <t>ORD0376</t>
  </si>
  <si>
    <t>ORD0377</t>
  </si>
  <si>
    <t>2024-12-05</t>
  </si>
  <si>
    <t>ORD0378</t>
  </si>
  <si>
    <t>2024-09-17</t>
  </si>
  <si>
    <t>ORD0379</t>
  </si>
  <si>
    <t>ORD0380</t>
  </si>
  <si>
    <t>ORD0381</t>
  </si>
  <si>
    <t>ORD0382</t>
  </si>
  <si>
    <t>2024-10-13</t>
  </si>
  <si>
    <t>ORD0383</t>
  </si>
  <si>
    <t>ORD0384</t>
  </si>
  <si>
    <t>ORD0385</t>
  </si>
  <si>
    <t>2024-04-23</t>
  </si>
  <si>
    <t>ORD0386</t>
  </si>
  <si>
    <t>ORD0387</t>
  </si>
  <si>
    <t>ORD0388</t>
  </si>
  <si>
    <t>2024-03-12</t>
  </si>
  <si>
    <t>ORD0389</t>
  </si>
  <si>
    <t>ORD0390</t>
  </si>
  <si>
    <t>2024-07-29</t>
  </si>
  <si>
    <t>ORD0391</t>
  </si>
  <si>
    <t>ORD0392</t>
  </si>
  <si>
    <t>ORD0393</t>
  </si>
  <si>
    <t>2024-04-05</t>
  </si>
  <si>
    <t>ORD0394</t>
  </si>
  <si>
    <t>ORD0395</t>
  </si>
  <si>
    <t>ORD0396</t>
  </si>
  <si>
    <t>2024-03-01</t>
  </si>
  <si>
    <t>ORD0397</t>
  </si>
  <si>
    <t>ORD0398</t>
  </si>
  <si>
    <t>ORD0399</t>
  </si>
  <si>
    <t>ORD0400</t>
  </si>
  <si>
    <t>ORD0401</t>
  </si>
  <si>
    <t>2024-07-17</t>
  </si>
  <si>
    <t>ORD0402</t>
  </si>
  <si>
    <t>ORD0403</t>
  </si>
  <si>
    <t>ORD0404</t>
  </si>
  <si>
    <t>ORD0405</t>
  </si>
  <si>
    <t>2024-01-26</t>
  </si>
  <si>
    <t>ORD0406</t>
  </si>
  <si>
    <t>ORD0407</t>
  </si>
  <si>
    <t>ORD0408</t>
  </si>
  <si>
    <t>2024-03-31</t>
  </si>
  <si>
    <t>ORD0409</t>
  </si>
  <si>
    <t>ORD0410</t>
  </si>
  <si>
    <t>2024-07-28</t>
  </si>
  <si>
    <t>ORD0411</t>
  </si>
  <si>
    <t>ORD0412</t>
  </si>
  <si>
    <t>ORD0413</t>
  </si>
  <si>
    <t>2024-08-18</t>
  </si>
  <si>
    <t>ORD0414</t>
  </si>
  <si>
    <t>2024-10-05</t>
  </si>
  <si>
    <t>ORD0415</t>
  </si>
  <si>
    <t>ORD0416</t>
  </si>
  <si>
    <t>ORD0417</t>
  </si>
  <si>
    <t>ORD0418</t>
  </si>
  <si>
    <t>2024-11-17</t>
  </si>
  <si>
    <t>ORD0419</t>
  </si>
  <si>
    <t>ORD0420</t>
  </si>
  <si>
    <t>2024-11-11</t>
  </si>
  <si>
    <t>ORD0421</t>
  </si>
  <si>
    <t>2024-07-24</t>
  </si>
  <si>
    <t>ORD0422</t>
  </si>
  <si>
    <t>ORD0423</t>
  </si>
  <si>
    <t>ORD0424</t>
  </si>
  <si>
    <t>2024-11-30</t>
  </si>
  <si>
    <t>ORD0425</t>
  </si>
  <si>
    <t>ORD0426</t>
  </si>
  <si>
    <t>2024-03-04</t>
  </si>
  <si>
    <t>ORD0427</t>
  </si>
  <si>
    <t>ORD0428</t>
  </si>
  <si>
    <t>2024-01-09</t>
  </si>
  <si>
    <t>ORD0429</t>
  </si>
  <si>
    <t>ORD0430</t>
  </si>
  <si>
    <t>ORD0431</t>
  </si>
  <si>
    <t>2024-10-06</t>
  </si>
  <si>
    <t>ORD0432</t>
  </si>
  <si>
    <t>ORD0433</t>
  </si>
  <si>
    <t>ORD0434</t>
  </si>
  <si>
    <t>ORD0435</t>
  </si>
  <si>
    <t>ORD0436</t>
  </si>
  <si>
    <t>2024-05-25</t>
  </si>
  <si>
    <t>ORD0437</t>
  </si>
  <si>
    <t>2024-02-17</t>
  </si>
  <si>
    <t>ORD0438</t>
  </si>
  <si>
    <t>ORD0439</t>
  </si>
  <si>
    <t>ORD0440</t>
  </si>
  <si>
    <t>2024-03-15</t>
  </si>
  <si>
    <t>ORD0441</t>
  </si>
  <si>
    <t>ORD0442</t>
  </si>
  <si>
    <t>ORD0443</t>
  </si>
  <si>
    <t>2024-03-10</t>
  </si>
  <si>
    <t>ORD0444</t>
  </si>
  <si>
    <t>ORD0445</t>
  </si>
  <si>
    <t>2024-09-16</t>
  </si>
  <si>
    <t>ORD0446</t>
  </si>
  <si>
    <t>ORD0447</t>
  </si>
  <si>
    <t>ORD0448</t>
  </si>
  <si>
    <t>2024-07-12</t>
  </si>
  <si>
    <t>ORD0449</t>
  </si>
  <si>
    <t>ORD0450</t>
  </si>
  <si>
    <t>ORD0451</t>
  </si>
  <si>
    <t>2024-08-04</t>
  </si>
  <si>
    <t>ORD0452</t>
  </si>
  <si>
    <t>ORD0453</t>
  </si>
  <si>
    <t>ORD0454</t>
  </si>
  <si>
    <t>ORD0455</t>
  </si>
  <si>
    <t>ORD0456</t>
  </si>
  <si>
    <t>ORD0457</t>
  </si>
  <si>
    <t>ORD0458</t>
  </si>
  <si>
    <t>ORD0459</t>
  </si>
  <si>
    <t>ORD0460</t>
  </si>
  <si>
    <t>ORD0461</t>
  </si>
  <si>
    <t>ORD0462</t>
  </si>
  <si>
    <t>ORD0463</t>
  </si>
  <si>
    <t>ORD0464</t>
  </si>
  <si>
    <t>ORD0465</t>
  </si>
  <si>
    <t>2024-07-20</t>
  </si>
  <si>
    <t>ORD0466</t>
  </si>
  <si>
    <t>ORD0467</t>
  </si>
  <si>
    <t>2024-03-23</t>
  </si>
  <si>
    <t>ORD0468</t>
  </si>
  <si>
    <t>2024-11-20</t>
  </si>
  <si>
    <t>ORD0469</t>
  </si>
  <si>
    <t>ORD0470</t>
  </si>
  <si>
    <t>ORD0471</t>
  </si>
  <si>
    <t>ORD0472</t>
  </si>
  <si>
    <t>ORD0473</t>
  </si>
  <si>
    <t>ORD0474</t>
  </si>
  <si>
    <t>ORD0475</t>
  </si>
  <si>
    <t>ORD0476</t>
  </si>
  <si>
    <t>2024-11-15</t>
  </si>
  <si>
    <t>ORD0477</t>
  </si>
  <si>
    <t>ORD0478</t>
  </si>
  <si>
    <t>ORD0479</t>
  </si>
  <si>
    <t>ORD0480</t>
  </si>
  <si>
    <t>ORD0481</t>
  </si>
  <si>
    <t>ORD0482</t>
  </si>
  <si>
    <t>ORD0483</t>
  </si>
  <si>
    <t>ORD0484</t>
  </si>
  <si>
    <t>ORD0485</t>
  </si>
  <si>
    <t>ORD0486</t>
  </si>
  <si>
    <t>2024-12-19</t>
  </si>
  <si>
    <t>ORD0487</t>
  </si>
  <si>
    <t>ORD0488</t>
  </si>
  <si>
    <t>ORD0489</t>
  </si>
  <si>
    <t>2024-01-31</t>
  </si>
  <si>
    <t>ORD0490</t>
  </si>
  <si>
    <t>ORD0491</t>
  </si>
  <si>
    <t>ORD0492</t>
  </si>
  <si>
    <t>ORD0493</t>
  </si>
  <si>
    <t>2024-03-21</t>
  </si>
  <si>
    <t>ORD0494</t>
  </si>
  <si>
    <t>2024-08-03</t>
  </si>
  <si>
    <t>ORD0495</t>
  </si>
  <si>
    <t>2024-04-15</t>
  </si>
  <si>
    <t>ORD0496</t>
  </si>
  <si>
    <t>2024-10-30</t>
  </si>
  <si>
    <t>ORD0497</t>
  </si>
  <si>
    <t>ORD0498</t>
  </si>
  <si>
    <t>ORD0499</t>
  </si>
  <si>
    <t>ORD0500</t>
  </si>
  <si>
    <t>ORD0501</t>
  </si>
  <si>
    <t>ORD0502</t>
  </si>
  <si>
    <t>2024-11-06</t>
  </si>
  <si>
    <t>ORD0503</t>
  </si>
  <si>
    <t>ORD0504</t>
  </si>
  <si>
    <t>ORD0505</t>
  </si>
  <si>
    <t>ORD0506</t>
  </si>
  <si>
    <t>ORD0507</t>
  </si>
  <si>
    <t>ORD0508</t>
  </si>
  <si>
    <t>2024-02-11</t>
  </si>
  <si>
    <t>ORD0509</t>
  </si>
  <si>
    <t>2024-07-27</t>
  </si>
  <si>
    <t>ORD0510</t>
  </si>
  <si>
    <t>ORD0511</t>
  </si>
  <si>
    <t>ORD0512</t>
  </si>
  <si>
    <t>2024-05-23</t>
  </si>
  <si>
    <t>ORD0513</t>
  </si>
  <si>
    <t>ORD0514</t>
  </si>
  <si>
    <t>2024-12-07</t>
  </si>
  <si>
    <t>ORD0515</t>
  </si>
  <si>
    <t>ORD0516</t>
  </si>
  <si>
    <t>ORD0517</t>
  </si>
  <si>
    <t>ORD0518</t>
  </si>
  <si>
    <t>ORD0519</t>
  </si>
  <si>
    <t>ORD0520</t>
  </si>
  <si>
    <t>ORD0521</t>
  </si>
  <si>
    <t>2024-12-02</t>
  </si>
  <si>
    <t>ORD0522</t>
  </si>
  <si>
    <t>ORD0523</t>
  </si>
  <si>
    <t>2024-07-25</t>
  </si>
  <si>
    <t>ORD0524</t>
  </si>
  <si>
    <t>ORD0525</t>
  </si>
  <si>
    <t>2024-01-14</t>
  </si>
  <si>
    <t>ORD0526</t>
  </si>
  <si>
    <t>ORD0527</t>
  </si>
  <si>
    <t>ORD0528</t>
  </si>
  <si>
    <t>ORD0529</t>
  </si>
  <si>
    <t>ORD0530</t>
  </si>
  <si>
    <t>ORD0531</t>
  </si>
  <si>
    <t>ORD0532</t>
  </si>
  <si>
    <t>ORD0533</t>
  </si>
  <si>
    <t>2024-10-22</t>
  </si>
  <si>
    <t>ORD0534</t>
  </si>
  <si>
    <t>ORD0535</t>
  </si>
  <si>
    <t>ORD0536</t>
  </si>
  <si>
    <t>ORD0537</t>
  </si>
  <si>
    <t>ORD0538</t>
  </si>
  <si>
    <t>ORD0539</t>
  </si>
  <si>
    <t>2024-07-19</t>
  </si>
  <si>
    <t>ORD0540</t>
  </si>
  <si>
    <t>2024-11-19</t>
  </si>
  <si>
    <t>ORD0541</t>
  </si>
  <si>
    <t>ORD0542</t>
  </si>
  <si>
    <t>ORD0543</t>
  </si>
  <si>
    <t>ORD0544</t>
  </si>
  <si>
    <t>ORD0545</t>
  </si>
  <si>
    <t>ORD0546</t>
  </si>
  <si>
    <t>ORD0547</t>
  </si>
  <si>
    <t>ORD0548</t>
  </si>
  <si>
    <t>2024-08-12</t>
  </si>
  <si>
    <t>ORD0549</t>
  </si>
  <si>
    <t>ORD0550</t>
  </si>
  <si>
    <t>2024-06-17</t>
  </si>
  <si>
    <t>ORD0551</t>
  </si>
  <si>
    <t>ORD0552</t>
  </si>
  <si>
    <t>ORD0553</t>
  </si>
  <si>
    <t>ORD0554</t>
  </si>
  <si>
    <t>ORD0555</t>
  </si>
  <si>
    <t>ORD0556</t>
  </si>
  <si>
    <t>2024-02-10</t>
  </si>
  <si>
    <t>ORD0557</t>
  </si>
  <si>
    <t>2024-02-22</t>
  </si>
  <si>
    <t>ORD0558</t>
  </si>
  <si>
    <t>ORD0559</t>
  </si>
  <si>
    <t>ORD0560</t>
  </si>
  <si>
    <t>ORD0561</t>
  </si>
  <si>
    <t>2024-04-06</t>
  </si>
  <si>
    <t>ORD0562</t>
  </si>
  <si>
    <t>ORD0563</t>
  </si>
  <si>
    <t>ORD0564</t>
  </si>
  <si>
    <t>ORD0565</t>
  </si>
  <si>
    <t>ORD0566</t>
  </si>
  <si>
    <t>ORD0567</t>
  </si>
  <si>
    <t>Grand Total</t>
  </si>
  <si>
    <t>Sum of Profit</t>
  </si>
  <si>
    <t>Total</t>
  </si>
  <si>
    <t>GEOGRAPHY</t>
  </si>
  <si>
    <t>Sum of Sales_Amount</t>
  </si>
  <si>
    <t>ProductS</t>
  </si>
  <si>
    <t>Unit Price</t>
  </si>
  <si>
    <t>TRENDS</t>
  </si>
  <si>
    <t>Sum of Unit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</si>
</sst>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0"/>
        <bgColor theme="4" tint="0.79998168889431442"/>
      </patternFill>
    </fill>
    <fill>
      <patternFill patternType="solid">
        <fgColor theme="0"/>
        <bgColor indexed="64"/>
      </patternFill>
    </fill>
  </fills>
  <borders count="3">
    <border>
      <left/>
      <right/>
      <top/>
      <bottom/>
      <diagonal/>
    </border>
    <border>
      <left/>
      <right/>
      <top style="thin">
        <color theme="4" tint="0.39997558519241921"/>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0" fillId="0" borderId="0" xfId="0" applyAlignment="1">
      <alignment horizontal="center" vertical="center"/>
    </xf>
    <xf numFmtId="0" fontId="0" fillId="0" borderId="0" xfId="0" pivotButton="1"/>
    <xf numFmtId="0" fontId="0" fillId="0" borderId="0" xfId="0" applyNumberFormat="1"/>
    <xf numFmtId="0" fontId="1" fillId="0" borderId="0" xfId="0" applyFont="1" applyAlignment="1">
      <alignment horizontal="center" vertical="center"/>
    </xf>
    <xf numFmtId="0" fontId="1" fillId="0" borderId="2" xfId="0" applyFont="1" applyBorder="1" applyAlignment="1">
      <alignment horizontal="center" vertical="center"/>
    </xf>
    <xf numFmtId="0" fontId="1" fillId="2" borderId="1" xfId="0" applyFont="1" applyFill="1" applyBorder="1"/>
    <xf numFmtId="0" fontId="1" fillId="2" borderId="1" xfId="0" applyNumberFormat="1" applyFont="1" applyFill="1" applyBorder="1"/>
    <xf numFmtId="0" fontId="0" fillId="3" borderId="0" xfId="0" applyFill="1"/>
  </cellXfs>
  <cellStyles count="1">
    <cellStyle name="Normal" xfId="0" builtinId="0"/>
  </cellStyles>
  <dxfs count="10">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[Sales_Dataset_567_Rows.xlsx]Sheet2!PivotTable12</c:name>
    <c:fmtId val="55"/>
  </c:pivotSource>
  <c:chart>
    <c:title>
      <c:tx>
        <c:rich>
          <a:bodyPr rot="0" spcFirstLastPara="1" vertOverflow="ellipsis" vert="horz" wrap="square" anchor="ctr" anchorCtr="1"/>
          <a:lstStyle/>
          <a:p>
            <a:pPr>
              <a:defRPr sz="2400" b="1" i="0" u="none" strike="noStrike" kern="1200" spc="100" baseline="0">
                <a:solidFill>
                  <a:schemeClr val="accent4">
                    <a:lumMod val="75000"/>
                  </a:schemeClr>
                </a:solidFill>
                <a:effectLst>
                  <a:outerShdw blurRad="50800" dist="38100" dir="5400000" algn="t" rotWithShape="0">
                    <a:prstClr val="black">
                      <a:alpha val="40000"/>
                    </a:prstClr>
                  </a:outerShdw>
                </a:effectLst>
                <a:latin typeface="Algerian" panose="04020705040A02060702" pitchFamily="82" charset="0"/>
                <a:ea typeface="+mn-ea"/>
                <a:cs typeface="+mn-cs"/>
              </a:defRPr>
            </a:pPr>
            <a:r>
              <a:rPr lang="en-US" sz="2400">
                <a:solidFill>
                  <a:schemeClr val="accent4">
                    <a:lumMod val="75000"/>
                  </a:schemeClr>
                </a:solidFill>
                <a:latin typeface="Times New Roman" panose="02020603050405020304" pitchFamily="18" charset="0"/>
                <a:cs typeface="Times New Roman" panose="02020603050405020304" pitchFamily="18" charset="0"/>
              </a:rPr>
              <a:t>TOTAL UNIT PRICE</a:t>
            </a:r>
          </a:p>
        </c:rich>
      </c:tx>
      <c:overlay val="0"/>
      <c:spPr>
        <a:noFill/>
        <a:ln>
          <a:noFill/>
        </a:ln>
        <a:effectLst/>
      </c:spPr>
      <c:txPr>
        <a:bodyPr rot="0" spcFirstLastPara="1" vertOverflow="ellipsis" vert="horz" wrap="square" anchor="ctr" anchorCtr="1"/>
        <a:lstStyle/>
        <a:p>
          <a:pPr>
            <a:defRPr sz="2400" b="1" i="0" u="none" strike="noStrike" kern="1200" spc="100" baseline="0">
              <a:solidFill>
                <a:schemeClr val="accent4">
                  <a:lumMod val="75000"/>
                </a:schemeClr>
              </a:solidFill>
              <a:effectLst>
                <a:outerShdw blurRad="50800" dist="38100" dir="5400000" algn="t" rotWithShape="0">
                  <a:prstClr val="black">
                    <a:alpha val="40000"/>
                  </a:prstClr>
                </a:outerShdw>
              </a:effectLst>
              <a:latin typeface="Algerian" panose="04020705040A02060702" pitchFamily="82" charset="0"/>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4">
                  <a:tint val="39000"/>
                  <a:shade val="51000"/>
                  <a:satMod val="130000"/>
                </a:schemeClr>
              </a:gs>
              <a:gs pos="80000">
                <a:schemeClr val="accent4">
                  <a:tint val="39000"/>
                  <a:shade val="93000"/>
                  <a:satMod val="130000"/>
                </a:schemeClr>
              </a:gs>
              <a:gs pos="100000">
                <a:schemeClr val="accent4">
                  <a:tint val="39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4"/>
        <c:spPr>
          <a:gradFill rotWithShape="1">
            <a:gsLst>
              <a:gs pos="0">
                <a:schemeClr val="accent4">
                  <a:tint val="47000"/>
                  <a:shade val="51000"/>
                  <a:satMod val="130000"/>
                </a:schemeClr>
              </a:gs>
              <a:gs pos="80000">
                <a:schemeClr val="accent4">
                  <a:tint val="47000"/>
                  <a:shade val="93000"/>
                  <a:satMod val="130000"/>
                </a:schemeClr>
              </a:gs>
              <a:gs pos="100000">
                <a:schemeClr val="accent4">
                  <a:tint val="4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5"/>
        <c:spPr>
          <a:gradFill rotWithShape="1">
            <a:gsLst>
              <a:gs pos="0">
                <a:schemeClr val="accent4">
                  <a:tint val="55000"/>
                  <a:shade val="51000"/>
                  <a:satMod val="130000"/>
                </a:schemeClr>
              </a:gs>
              <a:gs pos="80000">
                <a:schemeClr val="accent4">
                  <a:tint val="55000"/>
                  <a:shade val="93000"/>
                  <a:satMod val="130000"/>
                </a:schemeClr>
              </a:gs>
              <a:gs pos="100000">
                <a:schemeClr val="accent4">
                  <a:tint val="5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6"/>
        <c:spPr>
          <a:gradFill rotWithShape="1">
            <a:gsLst>
              <a:gs pos="0">
                <a:schemeClr val="accent4">
                  <a:tint val="63000"/>
                  <a:shade val="51000"/>
                  <a:satMod val="130000"/>
                </a:schemeClr>
              </a:gs>
              <a:gs pos="80000">
                <a:schemeClr val="accent4">
                  <a:tint val="63000"/>
                  <a:shade val="93000"/>
                  <a:satMod val="130000"/>
                </a:schemeClr>
              </a:gs>
              <a:gs pos="100000">
                <a:schemeClr val="accent4">
                  <a:tint val="6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7"/>
        <c:spPr>
          <a:gradFill rotWithShape="1">
            <a:gsLst>
              <a:gs pos="0">
                <a:schemeClr val="accent4">
                  <a:tint val="72000"/>
                  <a:shade val="51000"/>
                  <a:satMod val="130000"/>
                </a:schemeClr>
              </a:gs>
              <a:gs pos="80000">
                <a:schemeClr val="accent4">
                  <a:tint val="72000"/>
                  <a:shade val="93000"/>
                  <a:satMod val="130000"/>
                </a:schemeClr>
              </a:gs>
              <a:gs pos="100000">
                <a:schemeClr val="accent4">
                  <a:tint val="7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8"/>
        <c:spPr>
          <a:gradFill rotWithShape="1">
            <a:gsLst>
              <a:gs pos="0">
                <a:schemeClr val="accent4">
                  <a:tint val="80000"/>
                  <a:shade val="51000"/>
                  <a:satMod val="130000"/>
                </a:schemeClr>
              </a:gs>
              <a:gs pos="80000">
                <a:schemeClr val="accent4">
                  <a:tint val="80000"/>
                  <a:shade val="93000"/>
                  <a:satMod val="130000"/>
                </a:schemeClr>
              </a:gs>
              <a:gs pos="100000">
                <a:schemeClr val="accent4">
                  <a:tint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9"/>
        <c:spPr>
          <a:gradFill rotWithShape="1">
            <a:gsLst>
              <a:gs pos="0">
                <a:schemeClr val="accent4">
                  <a:tint val="88000"/>
                  <a:shade val="51000"/>
                  <a:satMod val="130000"/>
                </a:schemeClr>
              </a:gs>
              <a:gs pos="80000">
                <a:schemeClr val="accent4">
                  <a:tint val="88000"/>
                  <a:shade val="93000"/>
                  <a:satMod val="130000"/>
                </a:schemeClr>
              </a:gs>
              <a:gs pos="100000">
                <a:schemeClr val="accent4">
                  <a:tint val="8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0"/>
        <c:spPr>
          <a:gradFill rotWithShape="1">
            <a:gsLst>
              <a:gs pos="0">
                <a:schemeClr val="accent4">
                  <a:tint val="96000"/>
                  <a:shade val="51000"/>
                  <a:satMod val="130000"/>
                </a:schemeClr>
              </a:gs>
              <a:gs pos="80000">
                <a:schemeClr val="accent4">
                  <a:tint val="96000"/>
                  <a:shade val="93000"/>
                  <a:satMod val="130000"/>
                </a:schemeClr>
              </a:gs>
              <a:gs pos="100000">
                <a:schemeClr val="accent4">
                  <a:tint val="9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1"/>
        <c:spPr>
          <a:gradFill rotWithShape="1">
            <a:gsLst>
              <a:gs pos="0">
                <a:schemeClr val="accent4">
                  <a:shade val="95000"/>
                  <a:shade val="51000"/>
                  <a:satMod val="130000"/>
                </a:schemeClr>
              </a:gs>
              <a:gs pos="80000">
                <a:schemeClr val="accent4">
                  <a:shade val="95000"/>
                  <a:shade val="93000"/>
                  <a:satMod val="130000"/>
                </a:schemeClr>
              </a:gs>
              <a:gs pos="100000">
                <a:schemeClr val="accent4">
                  <a:shade val="9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2"/>
        <c:spPr>
          <a:gradFill rotWithShape="1">
            <a:gsLst>
              <a:gs pos="0">
                <a:schemeClr val="accent4">
                  <a:shade val="87000"/>
                  <a:shade val="51000"/>
                  <a:satMod val="130000"/>
                </a:schemeClr>
              </a:gs>
              <a:gs pos="80000">
                <a:schemeClr val="accent4">
                  <a:shade val="87000"/>
                  <a:shade val="93000"/>
                  <a:satMod val="130000"/>
                </a:schemeClr>
              </a:gs>
              <a:gs pos="100000">
                <a:schemeClr val="accent4">
                  <a:shade val="8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3"/>
        <c:spPr>
          <a:gradFill rotWithShape="1">
            <a:gsLst>
              <a:gs pos="0">
                <a:schemeClr val="accent4">
                  <a:shade val="79000"/>
                  <a:shade val="51000"/>
                  <a:satMod val="130000"/>
                </a:schemeClr>
              </a:gs>
              <a:gs pos="80000">
                <a:schemeClr val="accent4">
                  <a:shade val="79000"/>
                  <a:shade val="93000"/>
                  <a:satMod val="130000"/>
                </a:schemeClr>
              </a:gs>
              <a:gs pos="100000">
                <a:schemeClr val="accent4">
                  <a:shade val="79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4"/>
        <c:spPr>
          <a:gradFill rotWithShape="1">
            <a:gsLst>
              <a:gs pos="0">
                <a:schemeClr val="accent4">
                  <a:shade val="71000"/>
                  <a:shade val="51000"/>
                  <a:satMod val="130000"/>
                </a:schemeClr>
              </a:gs>
              <a:gs pos="80000">
                <a:schemeClr val="accent4">
                  <a:shade val="71000"/>
                  <a:shade val="93000"/>
                  <a:satMod val="130000"/>
                </a:schemeClr>
              </a:gs>
              <a:gs pos="100000">
                <a:schemeClr val="accent4">
                  <a:shade val="71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5"/>
        <c:spPr>
          <a:gradFill rotWithShape="1">
            <a:gsLst>
              <a:gs pos="0">
                <a:schemeClr val="accent4">
                  <a:shade val="62000"/>
                  <a:shade val="51000"/>
                  <a:satMod val="130000"/>
                </a:schemeClr>
              </a:gs>
              <a:gs pos="80000">
                <a:schemeClr val="accent4">
                  <a:shade val="62000"/>
                  <a:shade val="93000"/>
                  <a:satMod val="130000"/>
                </a:schemeClr>
              </a:gs>
              <a:gs pos="100000">
                <a:schemeClr val="accent4">
                  <a:shade val="6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6"/>
        <c:spPr>
          <a:gradFill rotWithShape="1">
            <a:gsLst>
              <a:gs pos="0">
                <a:schemeClr val="accent4">
                  <a:shade val="54000"/>
                  <a:shade val="51000"/>
                  <a:satMod val="130000"/>
                </a:schemeClr>
              </a:gs>
              <a:gs pos="80000">
                <a:schemeClr val="accent4">
                  <a:shade val="54000"/>
                  <a:shade val="93000"/>
                  <a:satMod val="130000"/>
                </a:schemeClr>
              </a:gs>
              <a:gs pos="100000">
                <a:schemeClr val="accent4">
                  <a:shade val="5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7"/>
        <c:spPr>
          <a:gradFill rotWithShape="1">
            <a:gsLst>
              <a:gs pos="0">
                <a:schemeClr val="accent4">
                  <a:shade val="46000"/>
                  <a:shade val="51000"/>
                  <a:satMod val="130000"/>
                </a:schemeClr>
              </a:gs>
              <a:gs pos="80000">
                <a:schemeClr val="accent4">
                  <a:shade val="46000"/>
                  <a:shade val="93000"/>
                  <a:satMod val="130000"/>
                </a:schemeClr>
              </a:gs>
              <a:gs pos="100000">
                <a:schemeClr val="accent4">
                  <a:shade val="4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8"/>
        <c:spPr>
          <a:gradFill rotWithShape="1">
            <a:gsLst>
              <a:gs pos="0">
                <a:schemeClr val="accent4">
                  <a:shade val="38000"/>
                  <a:shade val="51000"/>
                  <a:satMod val="130000"/>
                </a:schemeClr>
              </a:gs>
              <a:gs pos="80000">
                <a:schemeClr val="accent4">
                  <a:shade val="38000"/>
                  <a:shade val="93000"/>
                  <a:satMod val="130000"/>
                </a:schemeClr>
              </a:gs>
              <a:gs pos="100000">
                <a:schemeClr val="accent4">
                  <a:shade val="3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9"/>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4">
                  <a:tint val="39000"/>
                  <a:shade val="51000"/>
                  <a:satMod val="130000"/>
                </a:schemeClr>
              </a:gs>
              <a:gs pos="80000">
                <a:schemeClr val="accent4">
                  <a:tint val="39000"/>
                  <a:shade val="93000"/>
                  <a:satMod val="130000"/>
                </a:schemeClr>
              </a:gs>
              <a:gs pos="100000">
                <a:schemeClr val="accent4">
                  <a:tint val="39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1"/>
        <c:spPr>
          <a:gradFill rotWithShape="1">
            <a:gsLst>
              <a:gs pos="0">
                <a:schemeClr val="accent4">
                  <a:tint val="47000"/>
                  <a:shade val="51000"/>
                  <a:satMod val="130000"/>
                </a:schemeClr>
              </a:gs>
              <a:gs pos="80000">
                <a:schemeClr val="accent4">
                  <a:tint val="47000"/>
                  <a:shade val="93000"/>
                  <a:satMod val="130000"/>
                </a:schemeClr>
              </a:gs>
              <a:gs pos="100000">
                <a:schemeClr val="accent4">
                  <a:tint val="4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2"/>
        <c:spPr>
          <a:gradFill rotWithShape="1">
            <a:gsLst>
              <a:gs pos="0">
                <a:schemeClr val="accent4">
                  <a:tint val="55000"/>
                  <a:shade val="51000"/>
                  <a:satMod val="130000"/>
                </a:schemeClr>
              </a:gs>
              <a:gs pos="80000">
                <a:schemeClr val="accent4">
                  <a:tint val="55000"/>
                  <a:shade val="93000"/>
                  <a:satMod val="130000"/>
                </a:schemeClr>
              </a:gs>
              <a:gs pos="100000">
                <a:schemeClr val="accent4">
                  <a:tint val="5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3"/>
        <c:spPr>
          <a:gradFill rotWithShape="1">
            <a:gsLst>
              <a:gs pos="0">
                <a:schemeClr val="accent4">
                  <a:tint val="63000"/>
                  <a:shade val="51000"/>
                  <a:satMod val="130000"/>
                </a:schemeClr>
              </a:gs>
              <a:gs pos="80000">
                <a:schemeClr val="accent4">
                  <a:tint val="63000"/>
                  <a:shade val="93000"/>
                  <a:satMod val="130000"/>
                </a:schemeClr>
              </a:gs>
              <a:gs pos="100000">
                <a:schemeClr val="accent4">
                  <a:tint val="6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4"/>
        <c:spPr>
          <a:gradFill rotWithShape="1">
            <a:gsLst>
              <a:gs pos="0">
                <a:schemeClr val="accent4">
                  <a:tint val="72000"/>
                  <a:shade val="51000"/>
                  <a:satMod val="130000"/>
                </a:schemeClr>
              </a:gs>
              <a:gs pos="80000">
                <a:schemeClr val="accent4">
                  <a:tint val="72000"/>
                  <a:shade val="93000"/>
                  <a:satMod val="130000"/>
                </a:schemeClr>
              </a:gs>
              <a:gs pos="100000">
                <a:schemeClr val="accent4">
                  <a:tint val="7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5"/>
        <c:spPr>
          <a:gradFill rotWithShape="1">
            <a:gsLst>
              <a:gs pos="0">
                <a:schemeClr val="accent4">
                  <a:tint val="80000"/>
                  <a:shade val="51000"/>
                  <a:satMod val="130000"/>
                </a:schemeClr>
              </a:gs>
              <a:gs pos="80000">
                <a:schemeClr val="accent4">
                  <a:tint val="80000"/>
                  <a:shade val="93000"/>
                  <a:satMod val="130000"/>
                </a:schemeClr>
              </a:gs>
              <a:gs pos="100000">
                <a:schemeClr val="accent4">
                  <a:tint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6"/>
        <c:spPr>
          <a:gradFill rotWithShape="1">
            <a:gsLst>
              <a:gs pos="0">
                <a:schemeClr val="accent4">
                  <a:tint val="88000"/>
                  <a:shade val="51000"/>
                  <a:satMod val="130000"/>
                </a:schemeClr>
              </a:gs>
              <a:gs pos="80000">
                <a:schemeClr val="accent4">
                  <a:tint val="88000"/>
                  <a:shade val="93000"/>
                  <a:satMod val="130000"/>
                </a:schemeClr>
              </a:gs>
              <a:gs pos="100000">
                <a:schemeClr val="accent4">
                  <a:tint val="8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7"/>
        <c:spPr>
          <a:gradFill rotWithShape="1">
            <a:gsLst>
              <a:gs pos="0">
                <a:schemeClr val="accent4">
                  <a:tint val="96000"/>
                  <a:shade val="51000"/>
                  <a:satMod val="130000"/>
                </a:schemeClr>
              </a:gs>
              <a:gs pos="80000">
                <a:schemeClr val="accent4">
                  <a:tint val="96000"/>
                  <a:shade val="93000"/>
                  <a:satMod val="130000"/>
                </a:schemeClr>
              </a:gs>
              <a:gs pos="100000">
                <a:schemeClr val="accent4">
                  <a:tint val="9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8"/>
        <c:spPr>
          <a:gradFill rotWithShape="1">
            <a:gsLst>
              <a:gs pos="0">
                <a:schemeClr val="accent4">
                  <a:shade val="95000"/>
                  <a:shade val="51000"/>
                  <a:satMod val="130000"/>
                </a:schemeClr>
              </a:gs>
              <a:gs pos="80000">
                <a:schemeClr val="accent4">
                  <a:shade val="95000"/>
                  <a:shade val="93000"/>
                  <a:satMod val="130000"/>
                </a:schemeClr>
              </a:gs>
              <a:gs pos="100000">
                <a:schemeClr val="accent4">
                  <a:shade val="9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9"/>
        <c:spPr>
          <a:gradFill rotWithShape="1">
            <a:gsLst>
              <a:gs pos="0">
                <a:schemeClr val="accent4">
                  <a:shade val="87000"/>
                  <a:shade val="51000"/>
                  <a:satMod val="130000"/>
                </a:schemeClr>
              </a:gs>
              <a:gs pos="80000">
                <a:schemeClr val="accent4">
                  <a:shade val="87000"/>
                  <a:shade val="93000"/>
                  <a:satMod val="130000"/>
                </a:schemeClr>
              </a:gs>
              <a:gs pos="100000">
                <a:schemeClr val="accent4">
                  <a:shade val="8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0"/>
        <c:spPr>
          <a:gradFill rotWithShape="1">
            <a:gsLst>
              <a:gs pos="0">
                <a:schemeClr val="accent4">
                  <a:shade val="79000"/>
                  <a:shade val="51000"/>
                  <a:satMod val="130000"/>
                </a:schemeClr>
              </a:gs>
              <a:gs pos="80000">
                <a:schemeClr val="accent4">
                  <a:shade val="79000"/>
                  <a:shade val="93000"/>
                  <a:satMod val="130000"/>
                </a:schemeClr>
              </a:gs>
              <a:gs pos="100000">
                <a:schemeClr val="accent4">
                  <a:shade val="79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1"/>
        <c:spPr>
          <a:gradFill rotWithShape="1">
            <a:gsLst>
              <a:gs pos="0">
                <a:schemeClr val="accent4">
                  <a:shade val="71000"/>
                  <a:shade val="51000"/>
                  <a:satMod val="130000"/>
                </a:schemeClr>
              </a:gs>
              <a:gs pos="80000">
                <a:schemeClr val="accent4">
                  <a:shade val="71000"/>
                  <a:shade val="93000"/>
                  <a:satMod val="130000"/>
                </a:schemeClr>
              </a:gs>
              <a:gs pos="100000">
                <a:schemeClr val="accent4">
                  <a:shade val="71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2"/>
        <c:spPr>
          <a:gradFill rotWithShape="1">
            <a:gsLst>
              <a:gs pos="0">
                <a:schemeClr val="accent4">
                  <a:shade val="62000"/>
                  <a:shade val="51000"/>
                  <a:satMod val="130000"/>
                </a:schemeClr>
              </a:gs>
              <a:gs pos="80000">
                <a:schemeClr val="accent4">
                  <a:shade val="62000"/>
                  <a:shade val="93000"/>
                  <a:satMod val="130000"/>
                </a:schemeClr>
              </a:gs>
              <a:gs pos="100000">
                <a:schemeClr val="accent4">
                  <a:shade val="6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3"/>
        <c:spPr>
          <a:gradFill rotWithShape="1">
            <a:gsLst>
              <a:gs pos="0">
                <a:schemeClr val="accent4">
                  <a:shade val="54000"/>
                  <a:shade val="51000"/>
                  <a:satMod val="130000"/>
                </a:schemeClr>
              </a:gs>
              <a:gs pos="80000">
                <a:schemeClr val="accent4">
                  <a:shade val="54000"/>
                  <a:shade val="93000"/>
                  <a:satMod val="130000"/>
                </a:schemeClr>
              </a:gs>
              <a:gs pos="100000">
                <a:schemeClr val="accent4">
                  <a:shade val="5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4"/>
        <c:spPr>
          <a:gradFill rotWithShape="1">
            <a:gsLst>
              <a:gs pos="0">
                <a:schemeClr val="accent4">
                  <a:shade val="46000"/>
                  <a:shade val="51000"/>
                  <a:satMod val="130000"/>
                </a:schemeClr>
              </a:gs>
              <a:gs pos="80000">
                <a:schemeClr val="accent4">
                  <a:shade val="46000"/>
                  <a:shade val="93000"/>
                  <a:satMod val="130000"/>
                </a:schemeClr>
              </a:gs>
              <a:gs pos="100000">
                <a:schemeClr val="accent4">
                  <a:shade val="4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5"/>
        <c:spPr>
          <a:gradFill rotWithShape="1">
            <a:gsLst>
              <a:gs pos="0">
                <a:schemeClr val="accent4">
                  <a:shade val="38000"/>
                  <a:shade val="51000"/>
                  <a:satMod val="130000"/>
                </a:schemeClr>
              </a:gs>
              <a:gs pos="80000">
                <a:schemeClr val="accent4">
                  <a:shade val="38000"/>
                  <a:shade val="93000"/>
                  <a:satMod val="130000"/>
                </a:schemeClr>
              </a:gs>
              <a:gs pos="100000">
                <a:schemeClr val="accent4">
                  <a:shade val="3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gradFill rotWithShape="1">
            <a:gsLst>
              <a:gs pos="0">
                <a:schemeClr val="accent4">
                  <a:tint val="39000"/>
                  <a:shade val="51000"/>
                  <a:satMod val="130000"/>
                </a:schemeClr>
              </a:gs>
              <a:gs pos="80000">
                <a:schemeClr val="accent4">
                  <a:tint val="39000"/>
                  <a:shade val="93000"/>
                  <a:satMod val="130000"/>
                </a:schemeClr>
              </a:gs>
              <a:gs pos="100000">
                <a:schemeClr val="accent4">
                  <a:tint val="39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8"/>
        <c:spPr>
          <a:gradFill rotWithShape="1">
            <a:gsLst>
              <a:gs pos="0">
                <a:schemeClr val="accent4">
                  <a:tint val="47000"/>
                  <a:shade val="51000"/>
                  <a:satMod val="130000"/>
                </a:schemeClr>
              </a:gs>
              <a:gs pos="80000">
                <a:schemeClr val="accent4">
                  <a:tint val="47000"/>
                  <a:shade val="93000"/>
                  <a:satMod val="130000"/>
                </a:schemeClr>
              </a:gs>
              <a:gs pos="100000">
                <a:schemeClr val="accent4">
                  <a:tint val="4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9"/>
        <c:spPr>
          <a:gradFill rotWithShape="1">
            <a:gsLst>
              <a:gs pos="0">
                <a:schemeClr val="accent4">
                  <a:tint val="55000"/>
                  <a:shade val="51000"/>
                  <a:satMod val="130000"/>
                </a:schemeClr>
              </a:gs>
              <a:gs pos="80000">
                <a:schemeClr val="accent4">
                  <a:tint val="55000"/>
                  <a:shade val="93000"/>
                  <a:satMod val="130000"/>
                </a:schemeClr>
              </a:gs>
              <a:gs pos="100000">
                <a:schemeClr val="accent4">
                  <a:tint val="5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0"/>
        <c:spPr>
          <a:gradFill rotWithShape="1">
            <a:gsLst>
              <a:gs pos="0">
                <a:schemeClr val="accent4">
                  <a:tint val="63000"/>
                  <a:shade val="51000"/>
                  <a:satMod val="130000"/>
                </a:schemeClr>
              </a:gs>
              <a:gs pos="80000">
                <a:schemeClr val="accent4">
                  <a:tint val="63000"/>
                  <a:shade val="93000"/>
                  <a:satMod val="130000"/>
                </a:schemeClr>
              </a:gs>
              <a:gs pos="100000">
                <a:schemeClr val="accent4">
                  <a:tint val="6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1"/>
        <c:spPr>
          <a:gradFill rotWithShape="1">
            <a:gsLst>
              <a:gs pos="0">
                <a:schemeClr val="accent4">
                  <a:tint val="72000"/>
                  <a:shade val="51000"/>
                  <a:satMod val="130000"/>
                </a:schemeClr>
              </a:gs>
              <a:gs pos="80000">
                <a:schemeClr val="accent4">
                  <a:tint val="72000"/>
                  <a:shade val="93000"/>
                  <a:satMod val="130000"/>
                </a:schemeClr>
              </a:gs>
              <a:gs pos="100000">
                <a:schemeClr val="accent4">
                  <a:tint val="7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2"/>
        <c:spPr>
          <a:gradFill rotWithShape="1">
            <a:gsLst>
              <a:gs pos="0">
                <a:schemeClr val="accent4">
                  <a:tint val="80000"/>
                  <a:shade val="51000"/>
                  <a:satMod val="130000"/>
                </a:schemeClr>
              </a:gs>
              <a:gs pos="80000">
                <a:schemeClr val="accent4">
                  <a:tint val="80000"/>
                  <a:shade val="93000"/>
                  <a:satMod val="130000"/>
                </a:schemeClr>
              </a:gs>
              <a:gs pos="100000">
                <a:schemeClr val="accent4">
                  <a:tint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3"/>
        <c:spPr>
          <a:gradFill rotWithShape="1">
            <a:gsLst>
              <a:gs pos="0">
                <a:schemeClr val="accent4">
                  <a:tint val="88000"/>
                  <a:shade val="51000"/>
                  <a:satMod val="130000"/>
                </a:schemeClr>
              </a:gs>
              <a:gs pos="80000">
                <a:schemeClr val="accent4">
                  <a:tint val="88000"/>
                  <a:shade val="93000"/>
                  <a:satMod val="130000"/>
                </a:schemeClr>
              </a:gs>
              <a:gs pos="100000">
                <a:schemeClr val="accent4">
                  <a:tint val="8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4"/>
        <c:spPr>
          <a:gradFill rotWithShape="1">
            <a:gsLst>
              <a:gs pos="0">
                <a:schemeClr val="accent4">
                  <a:tint val="96000"/>
                  <a:shade val="51000"/>
                  <a:satMod val="130000"/>
                </a:schemeClr>
              </a:gs>
              <a:gs pos="80000">
                <a:schemeClr val="accent4">
                  <a:tint val="96000"/>
                  <a:shade val="93000"/>
                  <a:satMod val="130000"/>
                </a:schemeClr>
              </a:gs>
              <a:gs pos="100000">
                <a:schemeClr val="accent4">
                  <a:tint val="9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5"/>
        <c:spPr>
          <a:gradFill rotWithShape="1">
            <a:gsLst>
              <a:gs pos="0">
                <a:schemeClr val="accent4">
                  <a:shade val="95000"/>
                  <a:shade val="51000"/>
                  <a:satMod val="130000"/>
                </a:schemeClr>
              </a:gs>
              <a:gs pos="80000">
                <a:schemeClr val="accent4">
                  <a:shade val="95000"/>
                  <a:shade val="93000"/>
                  <a:satMod val="130000"/>
                </a:schemeClr>
              </a:gs>
              <a:gs pos="100000">
                <a:schemeClr val="accent4">
                  <a:shade val="9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6"/>
        <c:spPr>
          <a:gradFill rotWithShape="1">
            <a:gsLst>
              <a:gs pos="0">
                <a:schemeClr val="accent4">
                  <a:shade val="87000"/>
                  <a:shade val="51000"/>
                  <a:satMod val="130000"/>
                </a:schemeClr>
              </a:gs>
              <a:gs pos="80000">
                <a:schemeClr val="accent4">
                  <a:shade val="87000"/>
                  <a:shade val="93000"/>
                  <a:satMod val="130000"/>
                </a:schemeClr>
              </a:gs>
              <a:gs pos="100000">
                <a:schemeClr val="accent4">
                  <a:shade val="8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7"/>
        <c:spPr>
          <a:gradFill rotWithShape="1">
            <a:gsLst>
              <a:gs pos="0">
                <a:schemeClr val="accent4">
                  <a:shade val="79000"/>
                  <a:shade val="51000"/>
                  <a:satMod val="130000"/>
                </a:schemeClr>
              </a:gs>
              <a:gs pos="80000">
                <a:schemeClr val="accent4">
                  <a:shade val="79000"/>
                  <a:shade val="93000"/>
                  <a:satMod val="130000"/>
                </a:schemeClr>
              </a:gs>
              <a:gs pos="100000">
                <a:schemeClr val="accent4">
                  <a:shade val="79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8"/>
        <c:spPr>
          <a:gradFill rotWithShape="1">
            <a:gsLst>
              <a:gs pos="0">
                <a:schemeClr val="accent4">
                  <a:shade val="71000"/>
                  <a:shade val="51000"/>
                  <a:satMod val="130000"/>
                </a:schemeClr>
              </a:gs>
              <a:gs pos="80000">
                <a:schemeClr val="accent4">
                  <a:shade val="71000"/>
                  <a:shade val="93000"/>
                  <a:satMod val="130000"/>
                </a:schemeClr>
              </a:gs>
              <a:gs pos="100000">
                <a:schemeClr val="accent4">
                  <a:shade val="71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9"/>
        <c:spPr>
          <a:gradFill rotWithShape="1">
            <a:gsLst>
              <a:gs pos="0">
                <a:schemeClr val="accent4">
                  <a:shade val="62000"/>
                  <a:shade val="51000"/>
                  <a:satMod val="130000"/>
                </a:schemeClr>
              </a:gs>
              <a:gs pos="80000">
                <a:schemeClr val="accent4">
                  <a:shade val="62000"/>
                  <a:shade val="93000"/>
                  <a:satMod val="130000"/>
                </a:schemeClr>
              </a:gs>
              <a:gs pos="100000">
                <a:schemeClr val="accent4">
                  <a:shade val="6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0"/>
        <c:spPr>
          <a:gradFill rotWithShape="1">
            <a:gsLst>
              <a:gs pos="0">
                <a:schemeClr val="accent4">
                  <a:shade val="54000"/>
                  <a:shade val="51000"/>
                  <a:satMod val="130000"/>
                </a:schemeClr>
              </a:gs>
              <a:gs pos="80000">
                <a:schemeClr val="accent4">
                  <a:shade val="54000"/>
                  <a:shade val="93000"/>
                  <a:satMod val="130000"/>
                </a:schemeClr>
              </a:gs>
              <a:gs pos="100000">
                <a:schemeClr val="accent4">
                  <a:shade val="5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1"/>
        <c:spPr>
          <a:gradFill rotWithShape="1">
            <a:gsLst>
              <a:gs pos="0">
                <a:schemeClr val="accent4">
                  <a:shade val="46000"/>
                  <a:shade val="51000"/>
                  <a:satMod val="130000"/>
                </a:schemeClr>
              </a:gs>
              <a:gs pos="80000">
                <a:schemeClr val="accent4">
                  <a:shade val="46000"/>
                  <a:shade val="93000"/>
                  <a:satMod val="130000"/>
                </a:schemeClr>
              </a:gs>
              <a:gs pos="100000">
                <a:schemeClr val="accent4">
                  <a:shade val="4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2"/>
        <c:spPr>
          <a:gradFill rotWithShape="1">
            <a:gsLst>
              <a:gs pos="0">
                <a:schemeClr val="accent4">
                  <a:shade val="38000"/>
                  <a:shade val="51000"/>
                  <a:satMod val="130000"/>
                </a:schemeClr>
              </a:gs>
              <a:gs pos="80000">
                <a:schemeClr val="accent4">
                  <a:shade val="38000"/>
                  <a:shade val="93000"/>
                  <a:satMod val="130000"/>
                </a:schemeClr>
              </a:gs>
              <a:gs pos="100000">
                <a:schemeClr val="accent4">
                  <a:shade val="3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gradFill rotWithShape="1">
            <a:gsLst>
              <a:gs pos="0">
                <a:schemeClr val="accent4">
                  <a:tint val="39000"/>
                  <a:shade val="51000"/>
                  <a:satMod val="130000"/>
                </a:schemeClr>
              </a:gs>
              <a:gs pos="80000">
                <a:schemeClr val="accent4">
                  <a:tint val="39000"/>
                  <a:shade val="93000"/>
                  <a:satMod val="130000"/>
                </a:schemeClr>
              </a:gs>
              <a:gs pos="100000">
                <a:schemeClr val="accent4">
                  <a:tint val="39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5"/>
        <c:spPr>
          <a:gradFill rotWithShape="1">
            <a:gsLst>
              <a:gs pos="0">
                <a:schemeClr val="accent4">
                  <a:tint val="47000"/>
                  <a:shade val="51000"/>
                  <a:satMod val="130000"/>
                </a:schemeClr>
              </a:gs>
              <a:gs pos="80000">
                <a:schemeClr val="accent4">
                  <a:tint val="47000"/>
                  <a:shade val="93000"/>
                  <a:satMod val="130000"/>
                </a:schemeClr>
              </a:gs>
              <a:gs pos="100000">
                <a:schemeClr val="accent4">
                  <a:tint val="4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6"/>
        <c:spPr>
          <a:gradFill rotWithShape="1">
            <a:gsLst>
              <a:gs pos="0">
                <a:schemeClr val="accent4">
                  <a:tint val="55000"/>
                  <a:shade val="51000"/>
                  <a:satMod val="130000"/>
                </a:schemeClr>
              </a:gs>
              <a:gs pos="80000">
                <a:schemeClr val="accent4">
                  <a:tint val="55000"/>
                  <a:shade val="93000"/>
                  <a:satMod val="130000"/>
                </a:schemeClr>
              </a:gs>
              <a:gs pos="100000">
                <a:schemeClr val="accent4">
                  <a:tint val="5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7"/>
        <c:spPr>
          <a:gradFill rotWithShape="1">
            <a:gsLst>
              <a:gs pos="0">
                <a:schemeClr val="accent4">
                  <a:tint val="63000"/>
                  <a:shade val="51000"/>
                  <a:satMod val="130000"/>
                </a:schemeClr>
              </a:gs>
              <a:gs pos="80000">
                <a:schemeClr val="accent4">
                  <a:tint val="63000"/>
                  <a:shade val="93000"/>
                  <a:satMod val="130000"/>
                </a:schemeClr>
              </a:gs>
              <a:gs pos="100000">
                <a:schemeClr val="accent4">
                  <a:tint val="6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8"/>
        <c:spPr>
          <a:gradFill rotWithShape="1">
            <a:gsLst>
              <a:gs pos="0">
                <a:schemeClr val="accent4">
                  <a:tint val="72000"/>
                  <a:shade val="51000"/>
                  <a:satMod val="130000"/>
                </a:schemeClr>
              </a:gs>
              <a:gs pos="80000">
                <a:schemeClr val="accent4">
                  <a:tint val="72000"/>
                  <a:shade val="93000"/>
                  <a:satMod val="130000"/>
                </a:schemeClr>
              </a:gs>
              <a:gs pos="100000">
                <a:schemeClr val="accent4">
                  <a:tint val="7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9"/>
        <c:spPr>
          <a:gradFill rotWithShape="1">
            <a:gsLst>
              <a:gs pos="0">
                <a:schemeClr val="accent4">
                  <a:tint val="80000"/>
                  <a:shade val="51000"/>
                  <a:satMod val="130000"/>
                </a:schemeClr>
              </a:gs>
              <a:gs pos="80000">
                <a:schemeClr val="accent4">
                  <a:tint val="80000"/>
                  <a:shade val="93000"/>
                  <a:satMod val="130000"/>
                </a:schemeClr>
              </a:gs>
              <a:gs pos="100000">
                <a:schemeClr val="accent4">
                  <a:tint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0"/>
        <c:spPr>
          <a:gradFill rotWithShape="1">
            <a:gsLst>
              <a:gs pos="0">
                <a:schemeClr val="accent4">
                  <a:tint val="88000"/>
                  <a:shade val="51000"/>
                  <a:satMod val="130000"/>
                </a:schemeClr>
              </a:gs>
              <a:gs pos="80000">
                <a:schemeClr val="accent4">
                  <a:tint val="88000"/>
                  <a:shade val="93000"/>
                  <a:satMod val="130000"/>
                </a:schemeClr>
              </a:gs>
              <a:gs pos="100000">
                <a:schemeClr val="accent4">
                  <a:tint val="8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1"/>
        <c:spPr>
          <a:gradFill rotWithShape="1">
            <a:gsLst>
              <a:gs pos="0">
                <a:schemeClr val="accent4">
                  <a:tint val="96000"/>
                  <a:shade val="51000"/>
                  <a:satMod val="130000"/>
                </a:schemeClr>
              </a:gs>
              <a:gs pos="80000">
                <a:schemeClr val="accent4">
                  <a:tint val="96000"/>
                  <a:shade val="93000"/>
                  <a:satMod val="130000"/>
                </a:schemeClr>
              </a:gs>
              <a:gs pos="100000">
                <a:schemeClr val="accent4">
                  <a:tint val="9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2"/>
        <c:spPr>
          <a:gradFill rotWithShape="1">
            <a:gsLst>
              <a:gs pos="0">
                <a:schemeClr val="accent4">
                  <a:shade val="95000"/>
                  <a:shade val="51000"/>
                  <a:satMod val="130000"/>
                </a:schemeClr>
              </a:gs>
              <a:gs pos="80000">
                <a:schemeClr val="accent4">
                  <a:shade val="95000"/>
                  <a:shade val="93000"/>
                  <a:satMod val="130000"/>
                </a:schemeClr>
              </a:gs>
              <a:gs pos="100000">
                <a:schemeClr val="accent4">
                  <a:shade val="9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3"/>
        <c:spPr>
          <a:gradFill rotWithShape="1">
            <a:gsLst>
              <a:gs pos="0">
                <a:schemeClr val="accent4">
                  <a:shade val="87000"/>
                  <a:shade val="51000"/>
                  <a:satMod val="130000"/>
                </a:schemeClr>
              </a:gs>
              <a:gs pos="80000">
                <a:schemeClr val="accent4">
                  <a:shade val="87000"/>
                  <a:shade val="93000"/>
                  <a:satMod val="130000"/>
                </a:schemeClr>
              </a:gs>
              <a:gs pos="100000">
                <a:schemeClr val="accent4">
                  <a:shade val="8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4"/>
        <c:spPr>
          <a:gradFill rotWithShape="1">
            <a:gsLst>
              <a:gs pos="0">
                <a:schemeClr val="accent4">
                  <a:shade val="79000"/>
                  <a:shade val="51000"/>
                  <a:satMod val="130000"/>
                </a:schemeClr>
              </a:gs>
              <a:gs pos="80000">
                <a:schemeClr val="accent4">
                  <a:shade val="79000"/>
                  <a:shade val="93000"/>
                  <a:satMod val="130000"/>
                </a:schemeClr>
              </a:gs>
              <a:gs pos="100000">
                <a:schemeClr val="accent4">
                  <a:shade val="79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5"/>
        <c:spPr>
          <a:gradFill rotWithShape="1">
            <a:gsLst>
              <a:gs pos="0">
                <a:schemeClr val="accent4">
                  <a:shade val="71000"/>
                  <a:shade val="51000"/>
                  <a:satMod val="130000"/>
                </a:schemeClr>
              </a:gs>
              <a:gs pos="80000">
                <a:schemeClr val="accent4">
                  <a:shade val="71000"/>
                  <a:shade val="93000"/>
                  <a:satMod val="130000"/>
                </a:schemeClr>
              </a:gs>
              <a:gs pos="100000">
                <a:schemeClr val="accent4">
                  <a:shade val="71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6"/>
        <c:spPr>
          <a:gradFill rotWithShape="1">
            <a:gsLst>
              <a:gs pos="0">
                <a:schemeClr val="accent4">
                  <a:shade val="62000"/>
                  <a:shade val="51000"/>
                  <a:satMod val="130000"/>
                </a:schemeClr>
              </a:gs>
              <a:gs pos="80000">
                <a:schemeClr val="accent4">
                  <a:shade val="62000"/>
                  <a:shade val="93000"/>
                  <a:satMod val="130000"/>
                </a:schemeClr>
              </a:gs>
              <a:gs pos="100000">
                <a:schemeClr val="accent4">
                  <a:shade val="6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7"/>
        <c:spPr>
          <a:gradFill rotWithShape="1">
            <a:gsLst>
              <a:gs pos="0">
                <a:schemeClr val="accent4">
                  <a:shade val="54000"/>
                  <a:shade val="51000"/>
                  <a:satMod val="130000"/>
                </a:schemeClr>
              </a:gs>
              <a:gs pos="80000">
                <a:schemeClr val="accent4">
                  <a:shade val="54000"/>
                  <a:shade val="93000"/>
                  <a:satMod val="130000"/>
                </a:schemeClr>
              </a:gs>
              <a:gs pos="100000">
                <a:schemeClr val="accent4">
                  <a:shade val="5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8"/>
        <c:spPr>
          <a:gradFill rotWithShape="1">
            <a:gsLst>
              <a:gs pos="0">
                <a:schemeClr val="accent4">
                  <a:shade val="46000"/>
                  <a:shade val="51000"/>
                  <a:satMod val="130000"/>
                </a:schemeClr>
              </a:gs>
              <a:gs pos="80000">
                <a:schemeClr val="accent4">
                  <a:shade val="46000"/>
                  <a:shade val="93000"/>
                  <a:satMod val="130000"/>
                </a:schemeClr>
              </a:gs>
              <a:gs pos="100000">
                <a:schemeClr val="accent4">
                  <a:shade val="4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9"/>
        <c:spPr>
          <a:gradFill rotWithShape="1">
            <a:gsLst>
              <a:gs pos="0">
                <a:schemeClr val="accent4">
                  <a:shade val="38000"/>
                  <a:shade val="51000"/>
                  <a:satMod val="130000"/>
                </a:schemeClr>
              </a:gs>
              <a:gs pos="80000">
                <a:schemeClr val="accent4">
                  <a:shade val="38000"/>
                  <a:shade val="93000"/>
                  <a:satMod val="130000"/>
                </a:schemeClr>
              </a:gs>
              <a:gs pos="100000">
                <a:schemeClr val="accent4">
                  <a:shade val="3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gradFill rotWithShape="1">
            <a:gsLst>
              <a:gs pos="0">
                <a:schemeClr val="accent4">
                  <a:tint val="39000"/>
                  <a:shade val="51000"/>
                  <a:satMod val="130000"/>
                </a:schemeClr>
              </a:gs>
              <a:gs pos="80000">
                <a:schemeClr val="accent4">
                  <a:tint val="39000"/>
                  <a:shade val="93000"/>
                  <a:satMod val="130000"/>
                </a:schemeClr>
              </a:gs>
              <a:gs pos="100000">
                <a:schemeClr val="accent4">
                  <a:tint val="39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2"/>
        <c:spPr>
          <a:gradFill rotWithShape="1">
            <a:gsLst>
              <a:gs pos="0">
                <a:schemeClr val="accent4">
                  <a:tint val="47000"/>
                  <a:shade val="51000"/>
                  <a:satMod val="130000"/>
                </a:schemeClr>
              </a:gs>
              <a:gs pos="80000">
                <a:schemeClr val="accent4">
                  <a:tint val="47000"/>
                  <a:shade val="93000"/>
                  <a:satMod val="130000"/>
                </a:schemeClr>
              </a:gs>
              <a:gs pos="100000">
                <a:schemeClr val="accent4">
                  <a:tint val="4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3"/>
        <c:spPr>
          <a:gradFill rotWithShape="1">
            <a:gsLst>
              <a:gs pos="0">
                <a:schemeClr val="accent4">
                  <a:tint val="55000"/>
                  <a:shade val="51000"/>
                  <a:satMod val="130000"/>
                </a:schemeClr>
              </a:gs>
              <a:gs pos="80000">
                <a:schemeClr val="accent4">
                  <a:tint val="55000"/>
                  <a:shade val="93000"/>
                  <a:satMod val="130000"/>
                </a:schemeClr>
              </a:gs>
              <a:gs pos="100000">
                <a:schemeClr val="accent4">
                  <a:tint val="5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4"/>
        <c:spPr>
          <a:gradFill rotWithShape="1">
            <a:gsLst>
              <a:gs pos="0">
                <a:schemeClr val="accent4">
                  <a:tint val="63000"/>
                  <a:shade val="51000"/>
                  <a:satMod val="130000"/>
                </a:schemeClr>
              </a:gs>
              <a:gs pos="80000">
                <a:schemeClr val="accent4">
                  <a:tint val="63000"/>
                  <a:shade val="93000"/>
                  <a:satMod val="130000"/>
                </a:schemeClr>
              </a:gs>
              <a:gs pos="100000">
                <a:schemeClr val="accent4">
                  <a:tint val="6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5"/>
        <c:spPr>
          <a:gradFill rotWithShape="1">
            <a:gsLst>
              <a:gs pos="0">
                <a:schemeClr val="accent4">
                  <a:tint val="72000"/>
                  <a:shade val="51000"/>
                  <a:satMod val="130000"/>
                </a:schemeClr>
              </a:gs>
              <a:gs pos="80000">
                <a:schemeClr val="accent4">
                  <a:tint val="72000"/>
                  <a:shade val="93000"/>
                  <a:satMod val="130000"/>
                </a:schemeClr>
              </a:gs>
              <a:gs pos="100000">
                <a:schemeClr val="accent4">
                  <a:tint val="7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6"/>
        <c:spPr>
          <a:gradFill rotWithShape="1">
            <a:gsLst>
              <a:gs pos="0">
                <a:schemeClr val="accent4">
                  <a:tint val="80000"/>
                  <a:shade val="51000"/>
                  <a:satMod val="130000"/>
                </a:schemeClr>
              </a:gs>
              <a:gs pos="80000">
                <a:schemeClr val="accent4">
                  <a:tint val="80000"/>
                  <a:shade val="93000"/>
                  <a:satMod val="130000"/>
                </a:schemeClr>
              </a:gs>
              <a:gs pos="100000">
                <a:schemeClr val="accent4">
                  <a:tint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7"/>
        <c:spPr>
          <a:gradFill rotWithShape="1">
            <a:gsLst>
              <a:gs pos="0">
                <a:schemeClr val="accent4">
                  <a:tint val="88000"/>
                  <a:shade val="51000"/>
                  <a:satMod val="130000"/>
                </a:schemeClr>
              </a:gs>
              <a:gs pos="80000">
                <a:schemeClr val="accent4">
                  <a:tint val="88000"/>
                  <a:shade val="93000"/>
                  <a:satMod val="130000"/>
                </a:schemeClr>
              </a:gs>
              <a:gs pos="100000">
                <a:schemeClr val="accent4">
                  <a:tint val="8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8"/>
        <c:spPr>
          <a:gradFill rotWithShape="1">
            <a:gsLst>
              <a:gs pos="0">
                <a:schemeClr val="accent4">
                  <a:tint val="96000"/>
                  <a:shade val="51000"/>
                  <a:satMod val="130000"/>
                </a:schemeClr>
              </a:gs>
              <a:gs pos="80000">
                <a:schemeClr val="accent4">
                  <a:tint val="96000"/>
                  <a:shade val="93000"/>
                  <a:satMod val="130000"/>
                </a:schemeClr>
              </a:gs>
              <a:gs pos="100000">
                <a:schemeClr val="accent4">
                  <a:tint val="9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9"/>
        <c:spPr>
          <a:gradFill rotWithShape="1">
            <a:gsLst>
              <a:gs pos="0">
                <a:schemeClr val="accent4">
                  <a:shade val="95000"/>
                  <a:shade val="51000"/>
                  <a:satMod val="130000"/>
                </a:schemeClr>
              </a:gs>
              <a:gs pos="80000">
                <a:schemeClr val="accent4">
                  <a:shade val="95000"/>
                  <a:shade val="93000"/>
                  <a:satMod val="130000"/>
                </a:schemeClr>
              </a:gs>
              <a:gs pos="100000">
                <a:schemeClr val="accent4">
                  <a:shade val="9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0"/>
        <c:spPr>
          <a:gradFill rotWithShape="1">
            <a:gsLst>
              <a:gs pos="0">
                <a:schemeClr val="accent4">
                  <a:shade val="87000"/>
                  <a:shade val="51000"/>
                  <a:satMod val="130000"/>
                </a:schemeClr>
              </a:gs>
              <a:gs pos="80000">
                <a:schemeClr val="accent4">
                  <a:shade val="87000"/>
                  <a:shade val="93000"/>
                  <a:satMod val="130000"/>
                </a:schemeClr>
              </a:gs>
              <a:gs pos="100000">
                <a:schemeClr val="accent4">
                  <a:shade val="8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1"/>
        <c:spPr>
          <a:gradFill rotWithShape="1">
            <a:gsLst>
              <a:gs pos="0">
                <a:schemeClr val="accent4">
                  <a:shade val="79000"/>
                  <a:shade val="51000"/>
                  <a:satMod val="130000"/>
                </a:schemeClr>
              </a:gs>
              <a:gs pos="80000">
                <a:schemeClr val="accent4">
                  <a:shade val="79000"/>
                  <a:shade val="93000"/>
                  <a:satMod val="130000"/>
                </a:schemeClr>
              </a:gs>
              <a:gs pos="100000">
                <a:schemeClr val="accent4">
                  <a:shade val="79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2"/>
        <c:spPr>
          <a:gradFill rotWithShape="1">
            <a:gsLst>
              <a:gs pos="0">
                <a:schemeClr val="accent4">
                  <a:shade val="71000"/>
                  <a:shade val="51000"/>
                  <a:satMod val="130000"/>
                </a:schemeClr>
              </a:gs>
              <a:gs pos="80000">
                <a:schemeClr val="accent4">
                  <a:shade val="71000"/>
                  <a:shade val="93000"/>
                  <a:satMod val="130000"/>
                </a:schemeClr>
              </a:gs>
              <a:gs pos="100000">
                <a:schemeClr val="accent4">
                  <a:shade val="71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3"/>
        <c:spPr>
          <a:gradFill rotWithShape="1">
            <a:gsLst>
              <a:gs pos="0">
                <a:schemeClr val="accent4">
                  <a:shade val="62000"/>
                  <a:shade val="51000"/>
                  <a:satMod val="130000"/>
                </a:schemeClr>
              </a:gs>
              <a:gs pos="80000">
                <a:schemeClr val="accent4">
                  <a:shade val="62000"/>
                  <a:shade val="93000"/>
                  <a:satMod val="130000"/>
                </a:schemeClr>
              </a:gs>
              <a:gs pos="100000">
                <a:schemeClr val="accent4">
                  <a:shade val="6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4"/>
        <c:spPr>
          <a:gradFill rotWithShape="1">
            <a:gsLst>
              <a:gs pos="0">
                <a:schemeClr val="accent4">
                  <a:shade val="54000"/>
                  <a:shade val="51000"/>
                  <a:satMod val="130000"/>
                </a:schemeClr>
              </a:gs>
              <a:gs pos="80000">
                <a:schemeClr val="accent4">
                  <a:shade val="54000"/>
                  <a:shade val="93000"/>
                  <a:satMod val="130000"/>
                </a:schemeClr>
              </a:gs>
              <a:gs pos="100000">
                <a:schemeClr val="accent4">
                  <a:shade val="5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5"/>
        <c:spPr>
          <a:gradFill rotWithShape="1">
            <a:gsLst>
              <a:gs pos="0">
                <a:schemeClr val="accent4">
                  <a:shade val="46000"/>
                  <a:shade val="51000"/>
                  <a:satMod val="130000"/>
                </a:schemeClr>
              </a:gs>
              <a:gs pos="80000">
                <a:schemeClr val="accent4">
                  <a:shade val="46000"/>
                  <a:shade val="93000"/>
                  <a:satMod val="130000"/>
                </a:schemeClr>
              </a:gs>
              <a:gs pos="100000">
                <a:schemeClr val="accent4">
                  <a:shade val="4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6"/>
        <c:spPr>
          <a:gradFill rotWithShape="1">
            <a:gsLst>
              <a:gs pos="0">
                <a:schemeClr val="accent4">
                  <a:shade val="38000"/>
                  <a:shade val="51000"/>
                  <a:satMod val="130000"/>
                </a:schemeClr>
              </a:gs>
              <a:gs pos="80000">
                <a:schemeClr val="accent4">
                  <a:shade val="38000"/>
                  <a:shade val="93000"/>
                  <a:satMod val="130000"/>
                </a:schemeClr>
              </a:gs>
              <a:gs pos="100000">
                <a:schemeClr val="accent4">
                  <a:shade val="3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Sheet2!$B$3:$B$4</c:f>
              <c:strCache>
                <c:ptCount val="1"/>
                <c:pt idx="0">
                  <c:v>Total</c:v>
                </c:pt>
              </c:strCache>
            </c:strRef>
          </c:tx>
          <c:dPt>
            <c:idx val="0"/>
            <c:bubble3D val="0"/>
            <c:spPr>
              <a:gradFill rotWithShape="1">
                <a:gsLst>
                  <a:gs pos="0">
                    <a:schemeClr val="accent4">
                      <a:tint val="39000"/>
                      <a:shade val="51000"/>
                      <a:satMod val="130000"/>
                    </a:schemeClr>
                  </a:gs>
                  <a:gs pos="80000">
                    <a:schemeClr val="accent4">
                      <a:tint val="39000"/>
                      <a:shade val="93000"/>
                      <a:satMod val="130000"/>
                    </a:schemeClr>
                  </a:gs>
                  <a:gs pos="100000">
                    <a:schemeClr val="accent4">
                      <a:tint val="39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6D2A-4A7B-9E0E-0974665C8582}"/>
              </c:ext>
            </c:extLst>
          </c:dPt>
          <c:dPt>
            <c:idx val="1"/>
            <c:bubble3D val="0"/>
            <c:spPr>
              <a:gradFill rotWithShape="1">
                <a:gsLst>
                  <a:gs pos="0">
                    <a:schemeClr val="accent4">
                      <a:tint val="47000"/>
                      <a:shade val="51000"/>
                      <a:satMod val="130000"/>
                    </a:schemeClr>
                  </a:gs>
                  <a:gs pos="80000">
                    <a:schemeClr val="accent4">
                      <a:tint val="47000"/>
                      <a:shade val="93000"/>
                      <a:satMod val="130000"/>
                    </a:schemeClr>
                  </a:gs>
                  <a:gs pos="100000">
                    <a:schemeClr val="accent4">
                      <a:tint val="4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D2A-4A7B-9E0E-0974665C8582}"/>
              </c:ext>
            </c:extLst>
          </c:dPt>
          <c:dPt>
            <c:idx val="2"/>
            <c:bubble3D val="0"/>
            <c:spPr>
              <a:gradFill rotWithShape="1">
                <a:gsLst>
                  <a:gs pos="0">
                    <a:schemeClr val="accent4">
                      <a:tint val="55000"/>
                      <a:shade val="51000"/>
                      <a:satMod val="130000"/>
                    </a:schemeClr>
                  </a:gs>
                  <a:gs pos="80000">
                    <a:schemeClr val="accent4">
                      <a:tint val="55000"/>
                      <a:shade val="93000"/>
                      <a:satMod val="130000"/>
                    </a:schemeClr>
                  </a:gs>
                  <a:gs pos="100000">
                    <a:schemeClr val="accent4">
                      <a:tint val="5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6D2A-4A7B-9E0E-0974665C8582}"/>
              </c:ext>
            </c:extLst>
          </c:dPt>
          <c:dPt>
            <c:idx val="3"/>
            <c:bubble3D val="0"/>
            <c:spPr>
              <a:gradFill rotWithShape="1">
                <a:gsLst>
                  <a:gs pos="0">
                    <a:schemeClr val="accent4">
                      <a:tint val="63000"/>
                      <a:shade val="51000"/>
                      <a:satMod val="130000"/>
                    </a:schemeClr>
                  </a:gs>
                  <a:gs pos="80000">
                    <a:schemeClr val="accent4">
                      <a:tint val="63000"/>
                      <a:shade val="93000"/>
                      <a:satMod val="130000"/>
                    </a:schemeClr>
                  </a:gs>
                  <a:gs pos="100000">
                    <a:schemeClr val="accent4">
                      <a:tint val="6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6D2A-4A7B-9E0E-0974665C8582}"/>
              </c:ext>
            </c:extLst>
          </c:dPt>
          <c:dPt>
            <c:idx val="4"/>
            <c:bubble3D val="0"/>
            <c:spPr>
              <a:gradFill rotWithShape="1">
                <a:gsLst>
                  <a:gs pos="0">
                    <a:schemeClr val="accent4">
                      <a:tint val="72000"/>
                      <a:shade val="51000"/>
                      <a:satMod val="130000"/>
                    </a:schemeClr>
                  </a:gs>
                  <a:gs pos="80000">
                    <a:schemeClr val="accent4">
                      <a:tint val="72000"/>
                      <a:shade val="93000"/>
                      <a:satMod val="130000"/>
                    </a:schemeClr>
                  </a:gs>
                  <a:gs pos="100000">
                    <a:schemeClr val="accent4">
                      <a:tint val="7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6D2A-4A7B-9E0E-0974665C8582}"/>
              </c:ext>
            </c:extLst>
          </c:dPt>
          <c:dPt>
            <c:idx val="5"/>
            <c:bubble3D val="0"/>
            <c:spPr>
              <a:gradFill rotWithShape="1">
                <a:gsLst>
                  <a:gs pos="0">
                    <a:schemeClr val="accent4">
                      <a:tint val="80000"/>
                      <a:shade val="51000"/>
                      <a:satMod val="130000"/>
                    </a:schemeClr>
                  </a:gs>
                  <a:gs pos="80000">
                    <a:schemeClr val="accent4">
                      <a:tint val="80000"/>
                      <a:shade val="93000"/>
                      <a:satMod val="130000"/>
                    </a:schemeClr>
                  </a:gs>
                  <a:gs pos="100000">
                    <a:schemeClr val="accent4">
                      <a:tint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6D2A-4A7B-9E0E-0974665C8582}"/>
              </c:ext>
            </c:extLst>
          </c:dPt>
          <c:dPt>
            <c:idx val="6"/>
            <c:bubble3D val="0"/>
            <c:spPr>
              <a:gradFill rotWithShape="1">
                <a:gsLst>
                  <a:gs pos="0">
                    <a:schemeClr val="accent4">
                      <a:tint val="88000"/>
                      <a:shade val="51000"/>
                      <a:satMod val="130000"/>
                    </a:schemeClr>
                  </a:gs>
                  <a:gs pos="80000">
                    <a:schemeClr val="accent4">
                      <a:tint val="88000"/>
                      <a:shade val="93000"/>
                      <a:satMod val="130000"/>
                    </a:schemeClr>
                  </a:gs>
                  <a:gs pos="100000">
                    <a:schemeClr val="accent4">
                      <a:tint val="8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6D2A-4A7B-9E0E-0974665C8582}"/>
              </c:ext>
            </c:extLst>
          </c:dPt>
          <c:dPt>
            <c:idx val="7"/>
            <c:bubble3D val="0"/>
            <c:spPr>
              <a:gradFill rotWithShape="1">
                <a:gsLst>
                  <a:gs pos="0">
                    <a:schemeClr val="accent4">
                      <a:tint val="96000"/>
                      <a:shade val="51000"/>
                      <a:satMod val="130000"/>
                    </a:schemeClr>
                  </a:gs>
                  <a:gs pos="80000">
                    <a:schemeClr val="accent4">
                      <a:tint val="96000"/>
                      <a:shade val="93000"/>
                      <a:satMod val="130000"/>
                    </a:schemeClr>
                  </a:gs>
                  <a:gs pos="100000">
                    <a:schemeClr val="accent4">
                      <a:tint val="9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6D2A-4A7B-9E0E-0974665C8582}"/>
              </c:ext>
            </c:extLst>
          </c:dPt>
          <c:dPt>
            <c:idx val="8"/>
            <c:bubble3D val="0"/>
            <c:spPr>
              <a:gradFill rotWithShape="1">
                <a:gsLst>
                  <a:gs pos="0">
                    <a:schemeClr val="accent4">
                      <a:shade val="95000"/>
                      <a:shade val="51000"/>
                      <a:satMod val="130000"/>
                    </a:schemeClr>
                  </a:gs>
                  <a:gs pos="80000">
                    <a:schemeClr val="accent4">
                      <a:shade val="95000"/>
                      <a:shade val="93000"/>
                      <a:satMod val="130000"/>
                    </a:schemeClr>
                  </a:gs>
                  <a:gs pos="100000">
                    <a:schemeClr val="accent4">
                      <a:shade val="9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6D2A-4A7B-9E0E-0974665C8582}"/>
              </c:ext>
            </c:extLst>
          </c:dPt>
          <c:dPt>
            <c:idx val="9"/>
            <c:bubble3D val="0"/>
            <c:spPr>
              <a:gradFill rotWithShape="1">
                <a:gsLst>
                  <a:gs pos="0">
                    <a:schemeClr val="accent4">
                      <a:shade val="87000"/>
                      <a:shade val="51000"/>
                      <a:satMod val="130000"/>
                    </a:schemeClr>
                  </a:gs>
                  <a:gs pos="80000">
                    <a:schemeClr val="accent4">
                      <a:shade val="87000"/>
                      <a:shade val="93000"/>
                      <a:satMod val="130000"/>
                    </a:schemeClr>
                  </a:gs>
                  <a:gs pos="100000">
                    <a:schemeClr val="accent4">
                      <a:shade val="8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6D2A-4A7B-9E0E-0974665C8582}"/>
              </c:ext>
            </c:extLst>
          </c:dPt>
          <c:dPt>
            <c:idx val="10"/>
            <c:bubble3D val="0"/>
            <c:spPr>
              <a:gradFill rotWithShape="1">
                <a:gsLst>
                  <a:gs pos="0">
                    <a:schemeClr val="accent4">
                      <a:shade val="79000"/>
                      <a:shade val="51000"/>
                      <a:satMod val="130000"/>
                    </a:schemeClr>
                  </a:gs>
                  <a:gs pos="80000">
                    <a:schemeClr val="accent4">
                      <a:shade val="79000"/>
                      <a:shade val="93000"/>
                      <a:satMod val="130000"/>
                    </a:schemeClr>
                  </a:gs>
                  <a:gs pos="100000">
                    <a:schemeClr val="accent4">
                      <a:shade val="79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6D2A-4A7B-9E0E-0974665C8582}"/>
              </c:ext>
            </c:extLst>
          </c:dPt>
          <c:dPt>
            <c:idx val="11"/>
            <c:bubble3D val="0"/>
            <c:spPr>
              <a:gradFill rotWithShape="1">
                <a:gsLst>
                  <a:gs pos="0">
                    <a:schemeClr val="accent4">
                      <a:shade val="71000"/>
                      <a:shade val="51000"/>
                      <a:satMod val="130000"/>
                    </a:schemeClr>
                  </a:gs>
                  <a:gs pos="80000">
                    <a:schemeClr val="accent4">
                      <a:shade val="71000"/>
                      <a:shade val="93000"/>
                      <a:satMod val="130000"/>
                    </a:schemeClr>
                  </a:gs>
                  <a:gs pos="100000">
                    <a:schemeClr val="accent4">
                      <a:shade val="71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6D2A-4A7B-9E0E-0974665C8582}"/>
              </c:ext>
            </c:extLst>
          </c:dPt>
          <c:dPt>
            <c:idx val="12"/>
            <c:bubble3D val="0"/>
            <c:spPr>
              <a:gradFill rotWithShape="1">
                <a:gsLst>
                  <a:gs pos="0">
                    <a:schemeClr val="accent4">
                      <a:shade val="62000"/>
                      <a:shade val="51000"/>
                      <a:satMod val="130000"/>
                    </a:schemeClr>
                  </a:gs>
                  <a:gs pos="80000">
                    <a:schemeClr val="accent4">
                      <a:shade val="62000"/>
                      <a:shade val="93000"/>
                      <a:satMod val="130000"/>
                    </a:schemeClr>
                  </a:gs>
                  <a:gs pos="100000">
                    <a:schemeClr val="accent4">
                      <a:shade val="6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9-6D2A-4A7B-9E0E-0974665C8582}"/>
              </c:ext>
            </c:extLst>
          </c:dPt>
          <c:dPt>
            <c:idx val="13"/>
            <c:bubble3D val="0"/>
            <c:spPr>
              <a:gradFill rotWithShape="1">
                <a:gsLst>
                  <a:gs pos="0">
                    <a:schemeClr val="accent4">
                      <a:shade val="54000"/>
                      <a:shade val="51000"/>
                      <a:satMod val="130000"/>
                    </a:schemeClr>
                  </a:gs>
                  <a:gs pos="80000">
                    <a:schemeClr val="accent4">
                      <a:shade val="54000"/>
                      <a:shade val="93000"/>
                      <a:satMod val="130000"/>
                    </a:schemeClr>
                  </a:gs>
                  <a:gs pos="100000">
                    <a:schemeClr val="accent4">
                      <a:shade val="5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B-6D2A-4A7B-9E0E-0974665C8582}"/>
              </c:ext>
            </c:extLst>
          </c:dPt>
          <c:dPt>
            <c:idx val="14"/>
            <c:bubble3D val="0"/>
            <c:spPr>
              <a:gradFill rotWithShape="1">
                <a:gsLst>
                  <a:gs pos="0">
                    <a:schemeClr val="accent4">
                      <a:shade val="46000"/>
                      <a:shade val="51000"/>
                      <a:satMod val="130000"/>
                    </a:schemeClr>
                  </a:gs>
                  <a:gs pos="80000">
                    <a:schemeClr val="accent4">
                      <a:shade val="46000"/>
                      <a:shade val="93000"/>
                      <a:satMod val="130000"/>
                    </a:schemeClr>
                  </a:gs>
                  <a:gs pos="100000">
                    <a:schemeClr val="accent4">
                      <a:shade val="4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D-6D2A-4A7B-9E0E-0974665C8582}"/>
              </c:ext>
            </c:extLst>
          </c:dPt>
          <c:dPt>
            <c:idx val="15"/>
            <c:bubble3D val="0"/>
            <c:spPr>
              <a:gradFill rotWithShape="1">
                <a:gsLst>
                  <a:gs pos="0">
                    <a:schemeClr val="accent4">
                      <a:shade val="38000"/>
                      <a:shade val="51000"/>
                      <a:satMod val="130000"/>
                    </a:schemeClr>
                  </a:gs>
                  <a:gs pos="80000">
                    <a:schemeClr val="accent4">
                      <a:shade val="38000"/>
                      <a:shade val="93000"/>
                      <a:satMod val="130000"/>
                    </a:schemeClr>
                  </a:gs>
                  <a:gs pos="100000">
                    <a:schemeClr val="accent4">
                      <a:shade val="3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F-6D2A-4A7B-9E0E-0974665C8582}"/>
              </c:ext>
            </c:extLst>
          </c:dPt>
          <c:cat>
            <c:strRef>
              <c:f>Sheet2!$A$5:$A$21</c:f>
              <c:strCache>
                <c:ptCount val="16"/>
                <c:pt idx="0">
                  <c:v>Beverages</c:v>
                </c:pt>
                <c:pt idx="1">
                  <c:v>Chair</c:v>
                </c:pt>
                <c:pt idx="2">
                  <c:v>Cooking Oil</c:v>
                </c:pt>
                <c:pt idx="3">
                  <c:v>Cupboard</c:v>
                </c:pt>
                <c:pt idx="4">
                  <c:v>Desk</c:v>
                </c:pt>
                <c:pt idx="5">
                  <c:v>Headphones</c:v>
                </c:pt>
                <c:pt idx="6">
                  <c:v>Jacket</c:v>
                </c:pt>
                <c:pt idx="7">
                  <c:v>Jeans</c:v>
                </c:pt>
                <c:pt idx="8">
                  <c:v>Laptop</c:v>
                </c:pt>
                <c:pt idx="9">
                  <c:v>Rice Bag</c:v>
                </c:pt>
                <c:pt idx="10">
                  <c:v>Shoes</c:v>
                </c:pt>
                <c:pt idx="11">
                  <c:v>Smartphone</c:v>
                </c:pt>
                <c:pt idx="12">
                  <c:v>Snacks Pack</c:v>
                </c:pt>
                <c:pt idx="13">
                  <c:v>Table</c:v>
                </c:pt>
                <c:pt idx="14">
                  <c:v>Tablet</c:v>
                </c:pt>
                <c:pt idx="15">
                  <c:v>T-Shirt</c:v>
                </c:pt>
              </c:strCache>
            </c:strRef>
          </c:cat>
          <c:val>
            <c:numRef>
              <c:f>Sheet2!$B$5:$B$21</c:f>
              <c:numCache>
                <c:formatCode>General</c:formatCode>
                <c:ptCount val="16"/>
                <c:pt idx="0">
                  <c:v>50140</c:v>
                </c:pt>
                <c:pt idx="1">
                  <c:v>36094</c:v>
                </c:pt>
                <c:pt idx="2">
                  <c:v>36650</c:v>
                </c:pt>
                <c:pt idx="3">
                  <c:v>47256</c:v>
                </c:pt>
                <c:pt idx="4">
                  <c:v>35451</c:v>
                </c:pt>
                <c:pt idx="5">
                  <c:v>35708</c:v>
                </c:pt>
                <c:pt idx="6">
                  <c:v>30448</c:v>
                </c:pt>
                <c:pt idx="7">
                  <c:v>47685</c:v>
                </c:pt>
                <c:pt idx="8">
                  <c:v>33962</c:v>
                </c:pt>
                <c:pt idx="9">
                  <c:v>32566</c:v>
                </c:pt>
                <c:pt idx="10">
                  <c:v>22427</c:v>
                </c:pt>
                <c:pt idx="11">
                  <c:v>27542</c:v>
                </c:pt>
                <c:pt idx="12">
                  <c:v>28357</c:v>
                </c:pt>
                <c:pt idx="13">
                  <c:v>28817</c:v>
                </c:pt>
                <c:pt idx="14">
                  <c:v>38865</c:v>
                </c:pt>
                <c:pt idx="15">
                  <c:v>31524</c:v>
                </c:pt>
              </c:numCache>
            </c:numRef>
          </c:val>
          <c:extLst>
            <c:ext xmlns:c16="http://schemas.microsoft.com/office/drawing/2014/chart" uri="{C3380CC4-5D6E-409C-BE32-E72D297353CC}">
              <c16:uniqueId val="{00000020-6D2A-4A7B-9E0E-0974665C858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solidFill>
          <a:schemeClr val="accent4">
            <a:lumMod val="75000"/>
          </a:schemeClr>
        </a:solid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[Sales_Dataset_567_Rows.xlsx]Sheet2!PivotTable9</c:name>
    <c:fmtId val="25"/>
  </c:pivotSource>
  <c:chart>
    <c:title>
      <c:tx>
        <c:rich>
          <a:bodyPr rot="0" spcFirstLastPara="1" vertOverflow="ellipsis" vert="horz" wrap="square" anchor="ctr" anchorCtr="1"/>
          <a:lstStyle/>
          <a:p>
            <a:pPr>
              <a:defRPr sz="2400" b="1" i="0" u="none" strike="noStrike" kern="1200" cap="all" spc="50" baseline="0">
                <a:solidFill>
                  <a:schemeClr val="tx1">
                    <a:lumMod val="65000"/>
                    <a:lumOff val="35000"/>
                  </a:schemeClr>
                </a:solidFill>
                <a:latin typeface="Algerian" panose="04020705040A02060702" pitchFamily="82" charset="0"/>
                <a:ea typeface="+mn-ea"/>
                <a:cs typeface="+mn-cs"/>
              </a:defRPr>
            </a:pPr>
            <a:r>
              <a:rPr lang="en-US" sz="2400" b="1">
                <a:latin typeface="Times New Roman" panose="02020603050405020304" pitchFamily="18" charset="0"/>
                <a:cs typeface="Times New Roman" panose="02020603050405020304" pitchFamily="18" charset="0"/>
              </a:rPr>
              <a:t>GEOGRAPHY</a:t>
            </a:r>
          </a:p>
        </c:rich>
      </c:tx>
      <c:overlay val="0"/>
      <c:spPr>
        <a:noFill/>
        <a:ln>
          <a:noFill/>
        </a:ln>
        <a:effectLst/>
      </c:spPr>
      <c:txPr>
        <a:bodyPr rot="0" spcFirstLastPara="1" vertOverflow="ellipsis" vert="horz" wrap="square" anchor="ctr" anchorCtr="1"/>
        <a:lstStyle/>
        <a:p>
          <a:pPr>
            <a:defRPr sz="2400" b="1" i="0" u="none" strike="noStrike" kern="1200" cap="all" spc="50" baseline="0">
              <a:solidFill>
                <a:schemeClr val="tx1">
                  <a:lumMod val="65000"/>
                  <a:lumOff val="35000"/>
                </a:schemeClr>
              </a:solidFill>
              <a:latin typeface="Algerian" panose="04020705040A02060702" pitchFamily="82"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100000">
                <a:schemeClr val="accent4">
                  <a:alpha val="0"/>
                </a:schemeClr>
              </a:gs>
              <a:gs pos="50000">
                <a:schemeClr val="accent4"/>
              </a:gs>
            </a:gsLst>
            <a:lin ang="5400000" scaled="0"/>
          </a:gradFill>
          <a:ln>
            <a:noFill/>
          </a:ln>
          <a:effectLst/>
          <a:sp3d/>
        </c:spPr>
        <c:marker>
          <c:symbol val="circle"/>
          <c:size val="6"/>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w="9525" cap="flat" cmpd="sng" algn="ctr">
              <a:solidFill>
                <a:schemeClr val="accent4">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100000">
                <a:schemeClr val="accent4">
                  <a:alpha val="0"/>
                </a:schemeClr>
              </a:gs>
              <a:gs pos="50000">
                <a:schemeClr val="accent4"/>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100000">
                <a:schemeClr val="accent4">
                  <a:alpha val="0"/>
                </a:schemeClr>
              </a:gs>
              <a:gs pos="50000">
                <a:schemeClr val="accent4"/>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flip="none" rotWithShape="1">
            <a:gsLst>
              <a:gs pos="100000">
                <a:schemeClr val="accent4">
                  <a:alpha val="0"/>
                </a:schemeClr>
              </a:gs>
              <a:gs pos="50000">
                <a:schemeClr val="accent4"/>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a:gsLst>
              <a:gs pos="100000">
                <a:schemeClr val="accent4">
                  <a:alpha val="0"/>
                </a:schemeClr>
              </a:gs>
              <a:gs pos="50000">
                <a:schemeClr val="accent4"/>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Sheet2!$E$3:$E$4</c:f>
              <c:strCache>
                <c:ptCount val="1"/>
                <c:pt idx="0">
                  <c:v>Total</c:v>
                </c:pt>
              </c:strCache>
            </c:strRef>
          </c:tx>
          <c:spPr>
            <a:gradFill>
              <a:gsLst>
                <a:gs pos="100000">
                  <a:schemeClr val="accent4">
                    <a:alpha val="0"/>
                  </a:schemeClr>
                </a:gs>
                <a:gs pos="50000">
                  <a:schemeClr val="accent4"/>
                </a:gs>
              </a:gsLst>
              <a:lin ang="5400000" scaled="0"/>
            </a:gradFill>
            <a:ln>
              <a:noFill/>
            </a:ln>
            <a:effectLst/>
            <a:sp3d/>
          </c:spPr>
          <c:invertIfNegative val="0"/>
          <c:cat>
            <c:strRef>
              <c:f>Sheet2!$D$5:$D$9</c:f>
              <c:strCache>
                <c:ptCount val="4"/>
                <c:pt idx="0">
                  <c:v>East</c:v>
                </c:pt>
                <c:pt idx="1">
                  <c:v>North</c:v>
                </c:pt>
                <c:pt idx="2">
                  <c:v>South</c:v>
                </c:pt>
                <c:pt idx="3">
                  <c:v>West</c:v>
                </c:pt>
              </c:strCache>
            </c:strRef>
          </c:cat>
          <c:val>
            <c:numRef>
              <c:f>Sheet2!$E$5:$E$9</c:f>
              <c:numCache>
                <c:formatCode>General</c:formatCode>
                <c:ptCount val="4"/>
                <c:pt idx="0">
                  <c:v>3431340.1299999994</c:v>
                </c:pt>
                <c:pt idx="1">
                  <c:v>3738736.4500000011</c:v>
                </c:pt>
                <c:pt idx="2">
                  <c:v>3539461.7899999996</c:v>
                </c:pt>
                <c:pt idx="3">
                  <c:v>3836871.53</c:v>
                </c:pt>
              </c:numCache>
            </c:numRef>
          </c:val>
          <c:extLst>
            <c:ext xmlns:c16="http://schemas.microsoft.com/office/drawing/2014/chart" uri="{C3380CC4-5D6E-409C-BE32-E72D297353CC}">
              <c16:uniqueId val="{00000000-CD7F-4628-9A7B-8A79A25AB1F6}"/>
            </c:ext>
          </c:extLst>
        </c:ser>
        <c:dLbls>
          <c:showLegendKey val="0"/>
          <c:showVal val="0"/>
          <c:showCatName val="0"/>
          <c:showSerName val="0"/>
          <c:showPercent val="0"/>
          <c:showBubbleSize val="0"/>
        </c:dLbls>
        <c:gapWidth val="150"/>
        <c:gapDepth val="0"/>
        <c:shape val="box"/>
        <c:axId val="815060256"/>
        <c:axId val="815061696"/>
        <c:axId val="0"/>
      </c:bar3DChart>
      <c:catAx>
        <c:axId val="815060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061696"/>
        <c:crosses val="autoZero"/>
        <c:auto val="1"/>
        <c:lblAlgn val="ctr"/>
        <c:lblOffset val="100"/>
        <c:noMultiLvlLbl val="0"/>
      </c:catAx>
      <c:valAx>
        <c:axId val="81506169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060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2400" b="1" i="0" u="none" strike="noStrike" kern="1200" cap="none" baseline="0">
                <a:solidFill>
                  <a:schemeClr val="accent4">
                    <a:lumMod val="75000"/>
                  </a:schemeClr>
                </a:solidFill>
                <a:latin typeface="+mn-lt"/>
                <a:ea typeface="+mn-ea"/>
                <a:cs typeface="+mn-cs"/>
              </a:defRPr>
            </a:pPr>
            <a:r>
              <a:rPr lang="en-US" sz="2400" i="0" u="none">
                <a:solidFill>
                  <a:schemeClr val="accent4">
                    <a:lumMod val="75000"/>
                  </a:schemeClr>
                </a:solidFill>
                <a:latin typeface="Times New Roman" panose="02020603050405020304" pitchFamily="18" charset="0"/>
                <a:cs typeface="Times New Roman" panose="02020603050405020304" pitchFamily="18" charset="0"/>
              </a:rPr>
              <a:t>PRODUCT</a:t>
            </a:r>
            <a:r>
              <a:rPr lang="en-US" sz="2400" i="0" u="none" baseline="0">
                <a:solidFill>
                  <a:schemeClr val="accent4">
                    <a:lumMod val="75000"/>
                  </a:schemeClr>
                </a:solidFill>
                <a:latin typeface="Algerian" panose="04020705040A02060702" pitchFamily="82" charset="0"/>
              </a:rPr>
              <a:t> </a:t>
            </a:r>
            <a:r>
              <a:rPr lang="en-US" sz="2400" i="0" u="none" baseline="0">
                <a:solidFill>
                  <a:schemeClr val="accent4">
                    <a:lumMod val="75000"/>
                  </a:schemeClr>
                </a:solidFill>
                <a:latin typeface="Times New Roman" panose="02020603050405020304" pitchFamily="18" charset="0"/>
                <a:cs typeface="Times New Roman" panose="02020603050405020304" pitchFamily="18" charset="0"/>
              </a:rPr>
              <a:t>CATEGORY</a:t>
            </a:r>
            <a:endParaRPr lang="en-US" sz="2400" i="0" u="none">
              <a:solidFill>
                <a:schemeClr val="accent4">
                  <a:lumMod val="75000"/>
                </a:schemeClr>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2400" b="1" i="0" u="none" strike="noStrike" kern="1200" cap="none" baseline="0">
              <a:solidFill>
                <a:schemeClr val="accent4">
                  <a:lumMod val="75000"/>
                </a:schemeClr>
              </a:solidFill>
              <a:latin typeface="+mn-lt"/>
              <a:ea typeface="+mn-ea"/>
              <a:cs typeface="+mn-cs"/>
            </a:defRPr>
          </a:pPr>
          <a:endParaRPr lang="en-US"/>
        </a:p>
      </c:txPr>
    </c:title>
    <c:autoTitleDeleted val="0"/>
    <c:plotArea>
      <c:layout/>
      <c:scatterChart>
        <c:scatterStyle val="smoothMarker"/>
        <c:varyColors val="0"/>
        <c:ser>
          <c:idx val="0"/>
          <c:order val="0"/>
          <c:spPr>
            <a:ln w="22225" cap="rnd">
              <a:solidFill>
                <a:schemeClr val="accent4"/>
              </a:solidFill>
            </a:ln>
            <a:effectLst>
              <a:glow rad="139700">
                <a:schemeClr val="accent4">
                  <a:satMod val="175000"/>
                  <a:alpha val="14000"/>
                </a:schemeClr>
              </a:glow>
            </a:effectLst>
          </c:spPr>
          <c:marker>
            <c:symbol val="circle"/>
            <c:size val="3"/>
            <c:spPr>
              <a:solidFill>
                <a:schemeClr val="accent4">
                  <a:lumMod val="60000"/>
                  <a:lumOff val="40000"/>
                </a:schemeClr>
              </a:solidFill>
              <a:ln>
                <a:noFill/>
              </a:ln>
              <a:effectLst>
                <a:glow rad="63500">
                  <a:schemeClr val="accent4">
                    <a:satMod val="175000"/>
                    <a:alpha val="25000"/>
                  </a:schemeClr>
                </a:glow>
              </a:effectLst>
            </c:spPr>
          </c:marker>
          <c:trendline>
            <c:spPr>
              <a:ln w="25400" cap="rnd">
                <a:solidFill>
                  <a:schemeClr val="accent4">
                    <a:alpha val="50000"/>
                  </a:schemeClr>
                </a:solidFill>
              </a:ln>
              <a:effectLst/>
            </c:spPr>
            <c:trendlineType val="linear"/>
            <c:dispRSqr val="0"/>
            <c:dispEq val="0"/>
          </c:trendline>
          <c:xVal>
            <c:strRef>
              <c:f>Sheet2!$G$15:$G$19</c:f>
              <c:strCache>
                <c:ptCount val="5"/>
                <c:pt idx="0">
                  <c:v>Clothing</c:v>
                </c:pt>
                <c:pt idx="1">
                  <c:v>Electronics</c:v>
                </c:pt>
                <c:pt idx="2">
                  <c:v>Furniture</c:v>
                </c:pt>
                <c:pt idx="3">
                  <c:v>Grocery</c:v>
                </c:pt>
                <c:pt idx="4">
                  <c:v>Grand Total</c:v>
                </c:pt>
              </c:strCache>
            </c:strRef>
          </c:xVal>
          <c:yVal>
            <c:numRef>
              <c:f>Sheet2!$H$15:$H$19</c:f>
              <c:numCache>
                <c:formatCode>General</c:formatCode>
                <c:ptCount val="5"/>
                <c:pt idx="0">
                  <c:v>584401.53999999969</c:v>
                </c:pt>
                <c:pt idx="1">
                  <c:v>528752.22000000009</c:v>
                </c:pt>
                <c:pt idx="2">
                  <c:v>531880.68000000005</c:v>
                </c:pt>
                <c:pt idx="3">
                  <c:v>562056.62999999989</c:v>
                </c:pt>
                <c:pt idx="4">
                  <c:v>2207091.0699999998</c:v>
                </c:pt>
              </c:numCache>
            </c:numRef>
          </c:yVal>
          <c:smooth val="1"/>
          <c:extLst>
            <c:ext xmlns:c16="http://schemas.microsoft.com/office/drawing/2014/chart" uri="{C3380CC4-5D6E-409C-BE32-E72D297353CC}">
              <c16:uniqueId val="{00000001-BD97-4AC6-8D0B-B2DA0A659E57}"/>
            </c:ext>
          </c:extLst>
        </c:ser>
        <c:dLbls>
          <c:showLegendKey val="0"/>
          <c:showVal val="0"/>
          <c:showCatName val="0"/>
          <c:showSerName val="0"/>
          <c:showPercent val="0"/>
          <c:showBubbleSize val="0"/>
        </c:dLbls>
        <c:axId val="815087616"/>
        <c:axId val="815088096"/>
      </c:scatterChart>
      <c:valAx>
        <c:axId val="815087616"/>
        <c:scaling>
          <c:orientation val="minMax"/>
        </c:scaling>
        <c:delete val="0"/>
        <c:axPos val="b"/>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chemeClr val="accent4">
                    <a:lumMod val="75000"/>
                  </a:schemeClr>
                </a:solidFill>
                <a:latin typeface="+mn-lt"/>
                <a:ea typeface="+mn-ea"/>
                <a:cs typeface="+mn-cs"/>
              </a:defRPr>
            </a:pPr>
            <a:endParaRPr lang="en-US"/>
          </a:p>
        </c:txPr>
        <c:crossAx val="815088096"/>
        <c:crosses val="autoZero"/>
        <c:crossBetween val="midCat"/>
      </c:valAx>
      <c:valAx>
        <c:axId val="815088096"/>
        <c:scaling>
          <c:orientation val="minMax"/>
        </c:scaling>
        <c:delete val="0"/>
        <c:axPos val="l"/>
        <c:numFmt formatCode="General" sourceLinked="1"/>
        <c:majorTickMark val="out"/>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1000" b="0" i="0" u="none" strike="noStrike" kern="1200" baseline="0">
                <a:solidFill>
                  <a:schemeClr val="accent4">
                    <a:lumMod val="75000"/>
                  </a:schemeClr>
                </a:solidFill>
                <a:latin typeface="+mn-lt"/>
                <a:ea typeface="+mn-ea"/>
                <a:cs typeface="+mn-cs"/>
              </a:defRPr>
            </a:pPr>
            <a:endParaRPr lang="en-US"/>
          </a:p>
        </c:txPr>
        <c:crossAx val="81508761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4">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alpha val="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2400" b="1" i="0" u="none" strike="noStrike" kern="1200" baseline="0">
                <a:solidFill>
                  <a:schemeClr val="accent4">
                    <a:lumMod val="75000"/>
                  </a:schemeClr>
                </a:solidFill>
                <a:latin typeface="Algerian" panose="04020705040A02060702" pitchFamily="82" charset="0"/>
                <a:ea typeface="+mn-ea"/>
                <a:cs typeface="+mn-cs"/>
              </a:defRPr>
            </a:pPr>
            <a:r>
              <a:rPr lang="en-US" sz="2400">
                <a:solidFill>
                  <a:schemeClr val="accent4">
                    <a:lumMod val="75000"/>
                  </a:schemeClr>
                </a:solidFill>
                <a:latin typeface="Times New Roman" panose="02020603050405020304" pitchFamily="18" charset="0"/>
                <a:cs typeface="Times New Roman" panose="02020603050405020304" pitchFamily="18" charset="0"/>
              </a:rPr>
              <a:t>PRODUCTS</a:t>
            </a:r>
          </a:p>
        </c:rich>
      </c:tx>
      <c:overlay val="0"/>
      <c:spPr>
        <a:noFill/>
        <a:ln>
          <a:noFill/>
        </a:ln>
        <a:effectLst/>
      </c:spPr>
      <c:txPr>
        <a:bodyPr rot="0" spcFirstLastPara="1" vertOverflow="ellipsis" vert="horz" wrap="square" anchor="ctr" anchorCtr="1"/>
        <a:lstStyle/>
        <a:p>
          <a:pPr>
            <a:defRPr sz="2400" b="1" i="0" u="none" strike="noStrike" kern="1200" baseline="0">
              <a:solidFill>
                <a:schemeClr val="accent4">
                  <a:lumMod val="75000"/>
                </a:schemeClr>
              </a:solidFill>
              <a:latin typeface="Algerian" panose="04020705040A02060702" pitchFamily="82" charset="0"/>
              <a:ea typeface="+mn-ea"/>
              <a:cs typeface="+mn-cs"/>
            </a:defRPr>
          </a:pPr>
          <a:endParaRPr lang="en-US"/>
        </a:p>
      </c:txPr>
    </c:title>
    <c:autoTitleDeleted val="0"/>
    <c:plotArea>
      <c:layout/>
      <c:barChart>
        <c:barDir val="bar"/>
        <c:grouping val="clustered"/>
        <c:varyColors val="0"/>
        <c:ser>
          <c:idx val="0"/>
          <c:order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Sheet2!$G$26:$G$42</c:f>
              <c:strCache>
                <c:ptCount val="17"/>
                <c:pt idx="0">
                  <c:v>Beverages</c:v>
                </c:pt>
                <c:pt idx="1">
                  <c:v>Jeans</c:v>
                </c:pt>
                <c:pt idx="2">
                  <c:v>Cupboard</c:v>
                </c:pt>
                <c:pt idx="3">
                  <c:v>Cooking Oil</c:v>
                </c:pt>
                <c:pt idx="4">
                  <c:v>Jacket</c:v>
                </c:pt>
                <c:pt idx="5">
                  <c:v>Laptop</c:v>
                </c:pt>
                <c:pt idx="6">
                  <c:v>Chair</c:v>
                </c:pt>
                <c:pt idx="7">
                  <c:v>Desk</c:v>
                </c:pt>
                <c:pt idx="8">
                  <c:v>Rice Bag</c:v>
                </c:pt>
                <c:pt idx="9">
                  <c:v>Tablet</c:v>
                </c:pt>
                <c:pt idx="10">
                  <c:v>Headphones</c:v>
                </c:pt>
                <c:pt idx="11">
                  <c:v>Smartphone</c:v>
                </c:pt>
                <c:pt idx="12">
                  <c:v>T-Shirt</c:v>
                </c:pt>
                <c:pt idx="13">
                  <c:v>Shoes</c:v>
                </c:pt>
                <c:pt idx="14">
                  <c:v>Snacks Pack</c:v>
                </c:pt>
                <c:pt idx="15">
                  <c:v>Table</c:v>
                </c:pt>
                <c:pt idx="16">
                  <c:v>Grand Total</c:v>
                </c:pt>
              </c:strCache>
            </c:strRef>
          </c:cat>
          <c:val>
            <c:numRef>
              <c:f>Sheet2!$H$26:$H$42</c:f>
              <c:numCache>
                <c:formatCode>General</c:formatCode>
                <c:ptCount val="17"/>
                <c:pt idx="0">
                  <c:v>1281172.3500000006</c:v>
                </c:pt>
                <c:pt idx="1">
                  <c:v>1274292.2399999998</c:v>
                </c:pt>
                <c:pt idx="2">
                  <c:v>1132349.07</c:v>
                </c:pt>
                <c:pt idx="3">
                  <c:v>1073171.2000000002</c:v>
                </c:pt>
                <c:pt idx="4">
                  <c:v>986228.48999999976</c:v>
                </c:pt>
                <c:pt idx="5">
                  <c:v>977726.89999999991</c:v>
                </c:pt>
                <c:pt idx="6">
                  <c:v>960157.50999999978</c:v>
                </c:pt>
                <c:pt idx="7">
                  <c:v>945196.7899999998</c:v>
                </c:pt>
                <c:pt idx="8">
                  <c:v>888173.94000000018</c:v>
                </c:pt>
                <c:pt idx="9">
                  <c:v>870666.58000000019</c:v>
                </c:pt>
                <c:pt idx="10">
                  <c:v>812550.68</c:v>
                </c:pt>
                <c:pt idx="11">
                  <c:v>808971.91</c:v>
                </c:pt>
                <c:pt idx="12">
                  <c:v>722231.15999999992</c:v>
                </c:pt>
                <c:pt idx="13">
                  <c:v>687713.53</c:v>
                </c:pt>
                <c:pt idx="14">
                  <c:v>573228.85000000009</c:v>
                </c:pt>
                <c:pt idx="15">
                  <c:v>552578.70000000007</c:v>
                </c:pt>
                <c:pt idx="16">
                  <c:v>14546409.899999999</c:v>
                </c:pt>
              </c:numCache>
            </c:numRef>
          </c:val>
          <c:extLst>
            <c:ext xmlns:c16="http://schemas.microsoft.com/office/drawing/2014/chart" uri="{C3380CC4-5D6E-409C-BE32-E72D297353CC}">
              <c16:uniqueId val="{00000000-DA48-4573-8944-00916F3BC7E0}"/>
            </c:ext>
          </c:extLst>
        </c:ser>
        <c:dLbls>
          <c:showLegendKey val="0"/>
          <c:showVal val="0"/>
          <c:showCatName val="0"/>
          <c:showSerName val="0"/>
          <c:showPercent val="0"/>
          <c:showBubbleSize val="0"/>
        </c:dLbls>
        <c:gapWidth val="100"/>
        <c:axId val="815123136"/>
        <c:axId val="815113536"/>
      </c:barChart>
      <c:catAx>
        <c:axId val="815123136"/>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15113536"/>
        <c:crosses val="autoZero"/>
        <c:auto val="1"/>
        <c:lblAlgn val="ctr"/>
        <c:lblOffset val="100"/>
        <c:noMultiLvlLbl val="0"/>
      </c:catAx>
      <c:valAx>
        <c:axId val="815113536"/>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15123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1</xdr:colOff>
      <xdr:row>15</xdr:row>
      <xdr:rowOff>0</xdr:rowOff>
    </xdr:from>
    <xdr:to>
      <xdr:col>40</xdr:col>
      <xdr:colOff>1</xdr:colOff>
      <xdr:row>113</xdr:row>
      <xdr:rowOff>103768</xdr:rowOff>
    </xdr:to>
    <xdr:sp macro="" textlink="">
      <xdr:nvSpPr>
        <xdr:cNvPr id="45" name="Rectangle: Rounded Corners 44">
          <a:extLst>
            <a:ext uri="{FF2B5EF4-FFF2-40B4-BE49-F238E27FC236}">
              <a16:creationId xmlns:a16="http://schemas.microsoft.com/office/drawing/2014/main" id="{F2C22FBF-F34C-40B2-987F-A32F5751CD9A}"/>
            </a:ext>
          </a:extLst>
        </xdr:cNvPr>
        <xdr:cNvSpPr/>
      </xdr:nvSpPr>
      <xdr:spPr>
        <a:xfrm>
          <a:off x="4884616" y="2930769"/>
          <a:ext cx="19538462" cy="19251461"/>
        </a:xfrm>
        <a:prstGeom prst="roundRect">
          <a:avLst>
            <a:gd name="adj" fmla="val 3049"/>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517908</xdr:colOff>
      <xdr:row>17</xdr:row>
      <xdr:rowOff>81869</xdr:rowOff>
    </xdr:from>
    <xdr:to>
      <xdr:col>37</xdr:col>
      <xdr:colOff>186394</xdr:colOff>
      <xdr:row>25</xdr:row>
      <xdr:rowOff>109050</xdr:rowOff>
    </xdr:to>
    <xdr:sp macro="" textlink="">
      <xdr:nvSpPr>
        <xdr:cNvPr id="46" name="Rectangle: Rounded Corners 45">
          <a:extLst>
            <a:ext uri="{FF2B5EF4-FFF2-40B4-BE49-F238E27FC236}">
              <a16:creationId xmlns:a16="http://schemas.microsoft.com/office/drawing/2014/main" id="{6D529D76-0C97-4743-B4ED-7E7744591293}"/>
            </a:ext>
          </a:extLst>
        </xdr:cNvPr>
        <xdr:cNvSpPr/>
      </xdr:nvSpPr>
      <xdr:spPr>
        <a:xfrm>
          <a:off x="5597908" y="3320369"/>
          <a:ext cx="18083486" cy="1551181"/>
        </a:xfrm>
        <a:prstGeom prst="roundRect">
          <a:avLst>
            <a:gd name="adj" fmla="val 23361"/>
          </a:avLst>
        </a:prstGeom>
        <a:solidFill>
          <a:schemeClr val="accent4">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6600" b="1" i="0">
              <a:solidFill>
                <a:schemeClr val="accent4">
                  <a:lumMod val="75000"/>
                </a:schemeClr>
              </a:solidFill>
              <a:latin typeface="Times New Roman" panose="02020603050405020304" pitchFamily="18" charset="0"/>
              <a:cs typeface="Times New Roman" panose="02020603050405020304" pitchFamily="18" charset="0"/>
            </a:rPr>
            <a:t>Executive Sales Overview </a:t>
          </a:r>
        </a:p>
      </xdr:txBody>
    </xdr:sp>
    <xdr:clientData/>
  </xdr:twoCellAnchor>
  <xdr:twoCellAnchor>
    <xdr:from>
      <xdr:col>8</xdr:col>
      <xdr:colOff>470177</xdr:colOff>
      <xdr:row>26</xdr:row>
      <xdr:rowOff>106276</xdr:rowOff>
    </xdr:from>
    <xdr:to>
      <xdr:col>15</xdr:col>
      <xdr:colOff>420373</xdr:colOff>
      <xdr:row>38</xdr:row>
      <xdr:rowOff>138295</xdr:rowOff>
    </xdr:to>
    <xdr:sp macro="" textlink="">
      <xdr:nvSpPr>
        <xdr:cNvPr id="47" name="Rectangle: Rounded Corners 46">
          <a:extLst>
            <a:ext uri="{FF2B5EF4-FFF2-40B4-BE49-F238E27FC236}">
              <a16:creationId xmlns:a16="http://schemas.microsoft.com/office/drawing/2014/main" id="{4D29A8E7-1B52-43A5-AC06-A9BE55C5634F}"/>
            </a:ext>
          </a:extLst>
        </xdr:cNvPr>
        <xdr:cNvSpPr/>
      </xdr:nvSpPr>
      <xdr:spPr>
        <a:xfrm>
          <a:off x="5354792" y="5186276"/>
          <a:ext cx="4224235" cy="2376634"/>
        </a:xfrm>
        <a:prstGeom prst="roundRect">
          <a:avLst/>
        </a:prstGeom>
        <a:solidFill>
          <a:schemeClr val="accent4">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4000" b="1" i="0" u="none" strike="noStrike">
              <a:solidFill>
                <a:schemeClr val="accent4">
                  <a:lumMod val="75000"/>
                </a:schemeClr>
              </a:solidFill>
              <a:effectLst/>
              <a:latin typeface="+mn-lt"/>
              <a:ea typeface="+mn-ea"/>
              <a:cs typeface="+mn-cs"/>
            </a:rPr>
            <a:t>Clothing</a:t>
          </a:r>
          <a:r>
            <a:rPr lang="en-US" sz="4000" b="1">
              <a:solidFill>
                <a:schemeClr val="accent4">
                  <a:lumMod val="75000"/>
                </a:schemeClr>
              </a:solidFill>
              <a:effectLst/>
            </a:rPr>
            <a:t> </a:t>
          </a:r>
          <a:endParaRPr lang="en-US" sz="4000" b="1">
            <a:solidFill>
              <a:schemeClr val="accent4">
                <a:lumMod val="75000"/>
              </a:schemeClr>
            </a:solidFill>
          </a:endParaRPr>
        </a:p>
      </xdr:txBody>
    </xdr:sp>
    <xdr:clientData/>
  </xdr:twoCellAnchor>
  <xdr:twoCellAnchor>
    <xdr:from>
      <xdr:col>16</xdr:col>
      <xdr:colOff>6003</xdr:colOff>
      <xdr:row>26</xdr:row>
      <xdr:rowOff>102054</xdr:rowOff>
    </xdr:from>
    <xdr:to>
      <xdr:col>22</xdr:col>
      <xdr:colOff>555553</xdr:colOff>
      <xdr:row>38</xdr:row>
      <xdr:rowOff>139408</xdr:rowOff>
    </xdr:to>
    <xdr:sp macro="" textlink="">
      <xdr:nvSpPr>
        <xdr:cNvPr id="48" name="Rectangle: Rounded Corners 47">
          <a:extLst>
            <a:ext uri="{FF2B5EF4-FFF2-40B4-BE49-F238E27FC236}">
              <a16:creationId xmlns:a16="http://schemas.microsoft.com/office/drawing/2014/main" id="{6828428A-985F-4CCF-8755-71A8BF3F5A25}"/>
            </a:ext>
          </a:extLst>
        </xdr:cNvPr>
        <xdr:cNvSpPr/>
      </xdr:nvSpPr>
      <xdr:spPr>
        <a:xfrm>
          <a:off x="9670393" y="4934249"/>
          <a:ext cx="4173697" cy="2267598"/>
        </a:xfrm>
        <a:prstGeom prst="roundRect">
          <a:avLst/>
        </a:prstGeom>
        <a:solidFill>
          <a:schemeClr val="accent4">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4000" b="1" i="0" u="none" strike="noStrike">
              <a:solidFill>
                <a:schemeClr val="accent4">
                  <a:lumMod val="75000"/>
                </a:schemeClr>
              </a:solidFill>
              <a:effectLst/>
              <a:latin typeface="+mn-lt"/>
              <a:ea typeface="+mn-ea"/>
              <a:cs typeface="+mn-cs"/>
            </a:rPr>
            <a:t>Electronics</a:t>
          </a:r>
          <a:r>
            <a:rPr lang="en-US" sz="3600">
              <a:effectLst/>
            </a:rPr>
            <a:t> </a:t>
          </a:r>
          <a:endParaRPr lang="en-US" sz="3600"/>
        </a:p>
      </xdr:txBody>
    </xdr:sp>
    <xdr:clientData/>
  </xdr:twoCellAnchor>
  <xdr:twoCellAnchor>
    <xdr:from>
      <xdr:col>23</xdr:col>
      <xdr:colOff>119395</xdr:colOff>
      <xdr:row>26</xdr:row>
      <xdr:rowOff>90714</xdr:rowOff>
    </xdr:from>
    <xdr:to>
      <xdr:col>30</xdr:col>
      <xdr:colOff>67368</xdr:colOff>
      <xdr:row>38</xdr:row>
      <xdr:rowOff>128068</xdr:rowOff>
    </xdr:to>
    <xdr:sp macro="" textlink="">
      <xdr:nvSpPr>
        <xdr:cNvPr id="49" name="Rectangle: Rounded Corners 48">
          <a:extLst>
            <a:ext uri="{FF2B5EF4-FFF2-40B4-BE49-F238E27FC236}">
              <a16:creationId xmlns:a16="http://schemas.microsoft.com/office/drawing/2014/main" id="{EFFDF58B-F8DE-4C9D-99C0-7C3F092FF59A}"/>
            </a:ext>
          </a:extLst>
        </xdr:cNvPr>
        <xdr:cNvSpPr/>
      </xdr:nvSpPr>
      <xdr:spPr>
        <a:xfrm>
          <a:off x="14183469" y="4778739"/>
          <a:ext cx="4228343" cy="2201057"/>
        </a:xfrm>
        <a:prstGeom prst="roundRect">
          <a:avLst/>
        </a:prstGeom>
        <a:solidFill>
          <a:schemeClr val="accent4">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30</xdr:col>
      <xdr:colOff>250931</xdr:colOff>
      <xdr:row>26</xdr:row>
      <xdr:rowOff>89354</xdr:rowOff>
    </xdr:from>
    <xdr:to>
      <xdr:col>37</xdr:col>
      <xdr:colOff>198903</xdr:colOff>
      <xdr:row>38</xdr:row>
      <xdr:rowOff>126708</xdr:rowOff>
    </xdr:to>
    <xdr:sp macro="" textlink="">
      <xdr:nvSpPr>
        <xdr:cNvPr id="50" name="Rectangle: Rounded Corners 49">
          <a:extLst>
            <a:ext uri="{FF2B5EF4-FFF2-40B4-BE49-F238E27FC236}">
              <a16:creationId xmlns:a16="http://schemas.microsoft.com/office/drawing/2014/main" id="{4E942923-AE76-4657-B097-C395E5A51703}"/>
            </a:ext>
          </a:extLst>
        </xdr:cNvPr>
        <xdr:cNvSpPr/>
      </xdr:nvSpPr>
      <xdr:spPr>
        <a:xfrm>
          <a:off x="19300931" y="5042354"/>
          <a:ext cx="4392972" cy="2323354"/>
        </a:xfrm>
        <a:prstGeom prst="roundRect">
          <a:avLst/>
        </a:prstGeom>
        <a:solidFill>
          <a:schemeClr val="accent4">
            <a:lumMod val="20000"/>
            <a:lumOff val="80000"/>
          </a:schemeClr>
        </a:solidFill>
        <a:ln>
          <a:solidFill>
            <a:schemeClr val="dk1"/>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4000" b="1" i="0" u="none" strike="noStrike">
              <a:solidFill>
                <a:schemeClr val="accent4">
                  <a:lumMod val="75000"/>
                </a:schemeClr>
              </a:solidFill>
              <a:effectLst/>
              <a:latin typeface="+mn-lt"/>
              <a:ea typeface="+mn-ea"/>
              <a:cs typeface="+mn-cs"/>
            </a:rPr>
            <a:t>Grocery</a:t>
          </a:r>
          <a:r>
            <a:rPr lang="en-US">
              <a:effectLst/>
            </a:rPr>
            <a:t> </a:t>
          </a:r>
          <a:endParaRPr lang="en-US" sz="1100">
            <a:solidFill>
              <a:schemeClr val="accent4">
                <a:lumMod val="75000"/>
              </a:schemeClr>
            </a:solidFill>
          </a:endParaRPr>
        </a:p>
      </xdr:txBody>
    </xdr:sp>
    <xdr:clientData/>
  </xdr:twoCellAnchor>
  <xdr:twoCellAnchor>
    <xdr:from>
      <xdr:col>9</xdr:col>
      <xdr:colOff>213561</xdr:colOff>
      <xdr:row>41</xdr:row>
      <xdr:rowOff>0</xdr:rowOff>
    </xdr:from>
    <xdr:to>
      <xdr:col>14</xdr:col>
      <xdr:colOff>525249</xdr:colOff>
      <xdr:row>70</xdr:row>
      <xdr:rowOff>96630</xdr:rowOff>
    </xdr:to>
    <xdr:sp macro="" textlink="">
      <xdr:nvSpPr>
        <xdr:cNvPr id="51" name="Rectangle: Rounded Corners 50">
          <a:extLst>
            <a:ext uri="{FF2B5EF4-FFF2-40B4-BE49-F238E27FC236}">
              <a16:creationId xmlns:a16="http://schemas.microsoft.com/office/drawing/2014/main" id="{41CF6ECC-DB69-4004-A3F1-F8308274332F}"/>
            </a:ext>
          </a:extLst>
        </xdr:cNvPr>
        <xdr:cNvSpPr/>
      </xdr:nvSpPr>
      <xdr:spPr>
        <a:xfrm>
          <a:off x="5627772" y="7536447"/>
          <a:ext cx="3319582" cy="5427288"/>
        </a:xfrm>
        <a:prstGeom prst="roundRect">
          <a:avLst/>
        </a:prstGeom>
        <a:solidFill>
          <a:schemeClr val="accent4">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414814</xdr:colOff>
      <xdr:row>41</xdr:row>
      <xdr:rowOff>0</xdr:rowOff>
    </xdr:from>
    <xdr:to>
      <xdr:col>27</xdr:col>
      <xdr:colOff>308535</xdr:colOff>
      <xdr:row>72</xdr:row>
      <xdr:rowOff>127000</xdr:rowOff>
    </xdr:to>
    <xdr:sp macro="" textlink="">
      <xdr:nvSpPr>
        <xdr:cNvPr id="52" name="Rectangle: Rounded Corners 51">
          <a:extLst>
            <a:ext uri="{FF2B5EF4-FFF2-40B4-BE49-F238E27FC236}">
              <a16:creationId xmlns:a16="http://schemas.microsoft.com/office/drawing/2014/main" id="{25DEA6D0-3D82-4288-ADCA-932E5CA3AB40}"/>
            </a:ext>
          </a:extLst>
        </xdr:cNvPr>
        <xdr:cNvSpPr/>
      </xdr:nvSpPr>
      <xdr:spPr>
        <a:xfrm>
          <a:off x="10574814" y="7810500"/>
          <a:ext cx="6878721" cy="6032500"/>
        </a:xfrm>
        <a:prstGeom prst="roundRect">
          <a:avLst/>
        </a:prstGeom>
        <a:solidFill>
          <a:schemeClr val="accent4">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27</xdr:col>
      <xdr:colOff>414814</xdr:colOff>
      <xdr:row>41</xdr:row>
      <xdr:rowOff>0</xdr:rowOff>
    </xdr:from>
    <xdr:to>
      <xdr:col>38</xdr:col>
      <xdr:colOff>308534</xdr:colOff>
      <xdr:row>72</xdr:row>
      <xdr:rowOff>127000</xdr:rowOff>
    </xdr:to>
    <xdr:sp macro="" textlink="">
      <xdr:nvSpPr>
        <xdr:cNvPr id="53" name="Rectangle: Rounded Corners 52">
          <a:extLst>
            <a:ext uri="{FF2B5EF4-FFF2-40B4-BE49-F238E27FC236}">
              <a16:creationId xmlns:a16="http://schemas.microsoft.com/office/drawing/2014/main" id="{CD82D50C-A145-4A1D-B648-97A1669D59FE}"/>
            </a:ext>
          </a:extLst>
        </xdr:cNvPr>
        <xdr:cNvSpPr/>
      </xdr:nvSpPr>
      <xdr:spPr>
        <a:xfrm>
          <a:off x="17559814" y="7810500"/>
          <a:ext cx="6878720" cy="6032500"/>
        </a:xfrm>
        <a:prstGeom prst="roundRect">
          <a:avLst/>
        </a:prstGeom>
        <a:solidFill>
          <a:schemeClr val="accent4">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414814</xdr:colOff>
      <xdr:row>74</xdr:row>
      <xdr:rowOff>1</xdr:rowOff>
    </xdr:from>
    <xdr:to>
      <xdr:col>27</xdr:col>
      <xdr:colOff>308535</xdr:colOff>
      <xdr:row>105</xdr:row>
      <xdr:rowOff>127000</xdr:rowOff>
    </xdr:to>
    <xdr:sp macro="" textlink="">
      <xdr:nvSpPr>
        <xdr:cNvPr id="54" name="Rectangle: Rounded Corners 53">
          <a:extLst>
            <a:ext uri="{FF2B5EF4-FFF2-40B4-BE49-F238E27FC236}">
              <a16:creationId xmlns:a16="http://schemas.microsoft.com/office/drawing/2014/main" id="{E9194E49-981C-4AFB-88A3-DB6AA67D81C8}"/>
            </a:ext>
          </a:extLst>
        </xdr:cNvPr>
        <xdr:cNvSpPr/>
      </xdr:nvSpPr>
      <xdr:spPr>
        <a:xfrm>
          <a:off x="10574814" y="14097001"/>
          <a:ext cx="6878721" cy="6032499"/>
        </a:xfrm>
        <a:prstGeom prst="roundRect">
          <a:avLst/>
        </a:prstGeom>
        <a:solidFill>
          <a:schemeClr val="accent4">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27</xdr:col>
      <xdr:colOff>427514</xdr:colOff>
      <xdr:row>74</xdr:row>
      <xdr:rowOff>25401</xdr:rowOff>
    </xdr:from>
    <xdr:to>
      <xdr:col>38</xdr:col>
      <xdr:colOff>321234</xdr:colOff>
      <xdr:row>105</xdr:row>
      <xdr:rowOff>152400</xdr:rowOff>
    </xdr:to>
    <xdr:sp macro="" textlink="">
      <xdr:nvSpPr>
        <xdr:cNvPr id="55" name="Rectangle: Rounded Corners 54">
          <a:extLst>
            <a:ext uri="{FF2B5EF4-FFF2-40B4-BE49-F238E27FC236}">
              <a16:creationId xmlns:a16="http://schemas.microsoft.com/office/drawing/2014/main" id="{7BB4A512-4906-46C9-B6F0-74DC482C2004}"/>
            </a:ext>
          </a:extLst>
        </xdr:cNvPr>
        <xdr:cNvSpPr/>
      </xdr:nvSpPr>
      <xdr:spPr>
        <a:xfrm>
          <a:off x="17572514" y="14122401"/>
          <a:ext cx="6878720" cy="6032499"/>
        </a:xfrm>
        <a:prstGeom prst="roundRect">
          <a:avLst/>
        </a:prstGeom>
        <a:solidFill>
          <a:schemeClr val="accent4">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17</xdr:col>
      <xdr:colOff>101872</xdr:colOff>
      <xdr:row>43</xdr:row>
      <xdr:rowOff>43296</xdr:rowOff>
    </xdr:from>
    <xdr:to>
      <xdr:col>27</xdr:col>
      <xdr:colOff>241491</xdr:colOff>
      <xdr:row>71</xdr:row>
      <xdr:rowOff>151190</xdr:rowOff>
    </xdr:to>
    <xdr:graphicFrame macro="">
      <xdr:nvGraphicFramePr>
        <xdr:cNvPr id="56" name="Chart 55">
          <a:extLst>
            <a:ext uri="{FF2B5EF4-FFF2-40B4-BE49-F238E27FC236}">
              <a16:creationId xmlns:a16="http://schemas.microsoft.com/office/drawing/2014/main" id="{01F739C4-0981-48A8-A9EE-AC489F202D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33367</xdr:colOff>
      <xdr:row>43</xdr:row>
      <xdr:rowOff>84667</xdr:rowOff>
    </xdr:from>
    <xdr:to>
      <xdr:col>38</xdr:col>
      <xdr:colOff>109567</xdr:colOff>
      <xdr:row>70</xdr:row>
      <xdr:rowOff>160866</xdr:rowOff>
    </xdr:to>
    <xdr:graphicFrame macro="">
      <xdr:nvGraphicFramePr>
        <xdr:cNvPr id="57" name="Chart 56">
          <a:extLst>
            <a:ext uri="{FF2B5EF4-FFF2-40B4-BE49-F238E27FC236}">
              <a16:creationId xmlns:a16="http://schemas.microsoft.com/office/drawing/2014/main" id="{82301067-1E2D-42FE-B368-C60B8A76D1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100969</xdr:colOff>
      <xdr:row>74</xdr:row>
      <xdr:rowOff>109142</xdr:rowOff>
    </xdr:from>
    <xdr:to>
      <xdr:col>27</xdr:col>
      <xdr:colOff>249204</xdr:colOff>
      <xdr:row>104</xdr:row>
      <xdr:rowOff>56864</xdr:rowOff>
    </xdr:to>
    <xdr:graphicFrame macro="">
      <xdr:nvGraphicFramePr>
        <xdr:cNvPr id="58" name="Chart 57">
          <a:extLst>
            <a:ext uri="{FF2B5EF4-FFF2-40B4-BE49-F238E27FC236}">
              <a16:creationId xmlns:a16="http://schemas.microsoft.com/office/drawing/2014/main" id="{E419BA0C-D01F-4C16-88F0-466AFD8A82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183654</xdr:colOff>
      <xdr:row>75</xdr:row>
      <xdr:rowOff>101600</xdr:rowOff>
    </xdr:from>
    <xdr:to>
      <xdr:col>37</xdr:col>
      <xdr:colOff>579914</xdr:colOff>
      <xdr:row>103</xdr:row>
      <xdr:rowOff>105834</xdr:rowOff>
    </xdr:to>
    <xdr:graphicFrame macro="">
      <xdr:nvGraphicFramePr>
        <xdr:cNvPr id="59" name="Chart 58">
          <a:extLst>
            <a:ext uri="{FF2B5EF4-FFF2-40B4-BE49-F238E27FC236}">
              <a16:creationId xmlns:a16="http://schemas.microsoft.com/office/drawing/2014/main" id="{493A397B-2A14-46FE-8138-68F76F1863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358983</xdr:colOff>
      <xdr:row>42</xdr:row>
      <xdr:rowOff>102811</xdr:rowOff>
    </xdr:from>
    <xdr:to>
      <xdr:col>14</xdr:col>
      <xdr:colOff>363569</xdr:colOff>
      <xdr:row>69</xdr:row>
      <xdr:rowOff>77892</xdr:rowOff>
    </xdr:to>
    <mc:AlternateContent xmlns:mc="http://schemas.openxmlformats.org/markup-compatibility/2006">
      <mc:Choice xmlns:a14="http://schemas.microsoft.com/office/drawing/2010/main" Requires="a14">
        <xdr:graphicFrame macro="">
          <xdr:nvGraphicFramePr>
            <xdr:cNvPr id="60" name="Product_Name">
              <a:extLst>
                <a:ext uri="{FF2B5EF4-FFF2-40B4-BE49-F238E27FC236}">
                  <a16:creationId xmlns:a16="http://schemas.microsoft.com/office/drawing/2014/main" id="{97085F65-04C5-4D68-B307-ACECEF6BCFEE}"/>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dr:sp macro="" textlink="">
          <xdr:nvSpPr>
            <xdr:cNvPr id="0" name=""/>
            <xdr:cNvSpPr>
              <a:spLocks noTextEdit="1"/>
            </xdr:cNvSpPr>
          </xdr:nvSpPr>
          <xdr:spPr>
            <a:xfrm>
              <a:off x="5905895" y="7946929"/>
              <a:ext cx="3086203" cy="50177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76586</xdr:colOff>
      <xdr:row>32</xdr:row>
      <xdr:rowOff>182118</xdr:rowOff>
    </xdr:from>
    <xdr:to>
      <xdr:col>29</xdr:col>
      <xdr:colOff>209858</xdr:colOff>
      <xdr:row>36</xdr:row>
      <xdr:rowOff>158600</xdr:rowOff>
    </xdr:to>
    <xdr:sp macro="" textlink="Sheet2!H17">
      <xdr:nvSpPr>
        <xdr:cNvPr id="2051" name="TextBox 2050">
          <a:extLst>
            <a:ext uri="{FF2B5EF4-FFF2-40B4-BE49-F238E27FC236}">
              <a16:creationId xmlns:a16="http://schemas.microsoft.com/office/drawing/2014/main" id="{AD6B053C-6E02-0F70-A125-EB1A0FB04C0B}"/>
            </a:ext>
          </a:extLst>
        </xdr:cNvPr>
        <xdr:cNvSpPr txBox="1"/>
      </xdr:nvSpPr>
      <xdr:spPr>
        <a:xfrm>
          <a:off x="14730432" y="6434426"/>
          <a:ext cx="3186157" cy="758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E45139-B734-4090-B129-FFB1E802DD15}" type="TxLink">
            <a:rPr lang="en-US" sz="2400" b="0" i="0" u="none" strike="noStrike">
              <a:solidFill>
                <a:schemeClr val="accent4">
                  <a:lumMod val="60000"/>
                  <a:lumOff val="40000"/>
                </a:schemeClr>
              </a:solidFill>
              <a:latin typeface="Calibri"/>
              <a:ea typeface="Calibri"/>
              <a:cs typeface="Calibri"/>
            </a:rPr>
            <a:pPr algn="ctr"/>
            <a:t>531880.68</a:t>
          </a:fld>
          <a:endParaRPr lang="en-US" sz="2400" b="0">
            <a:solidFill>
              <a:schemeClr val="accent4">
                <a:lumMod val="60000"/>
                <a:lumOff val="40000"/>
              </a:schemeClr>
            </a:solidFill>
          </a:endParaRPr>
        </a:p>
      </xdr:txBody>
    </xdr:sp>
    <xdr:clientData/>
  </xdr:twoCellAnchor>
  <xdr:twoCellAnchor>
    <xdr:from>
      <xdr:col>24</xdr:col>
      <xdr:colOff>245308</xdr:colOff>
      <xdr:row>30</xdr:row>
      <xdr:rowOff>181042</xdr:rowOff>
    </xdr:from>
    <xdr:to>
      <xdr:col>28</xdr:col>
      <xdr:colOff>590247</xdr:colOff>
      <xdr:row>33</xdr:row>
      <xdr:rowOff>135727</xdr:rowOff>
    </xdr:to>
    <xdr:sp macro="" textlink="">
      <xdr:nvSpPr>
        <xdr:cNvPr id="2052" name="TextBox 2051">
          <a:extLst>
            <a:ext uri="{FF2B5EF4-FFF2-40B4-BE49-F238E27FC236}">
              <a16:creationId xmlns:a16="http://schemas.microsoft.com/office/drawing/2014/main" id="{F38128CB-8F7D-9228-7DE2-DF721A4266B5}"/>
            </a:ext>
          </a:extLst>
        </xdr:cNvPr>
        <xdr:cNvSpPr txBox="1"/>
      </xdr:nvSpPr>
      <xdr:spPr>
        <a:xfrm>
          <a:off x="14899154" y="6042580"/>
          <a:ext cx="2787247" cy="5408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i="0" u="none" strike="noStrike">
              <a:solidFill>
                <a:schemeClr val="accent4">
                  <a:lumMod val="75000"/>
                </a:schemeClr>
              </a:solidFill>
              <a:effectLst/>
              <a:latin typeface="+mn-lt"/>
              <a:ea typeface="+mn-ea"/>
              <a:cs typeface="+mn-cs"/>
            </a:rPr>
            <a:t>Furniture</a:t>
          </a:r>
          <a:r>
            <a:rPr lang="en-US" sz="4000">
              <a:effectLst/>
            </a:rPr>
            <a:t> </a:t>
          </a:r>
          <a:endParaRPr lang="en-US" sz="4000">
            <a:latin typeface="Times New Roman" panose="02020603050405020304" pitchFamily="18" charset="0"/>
            <a:cs typeface="Times New Roman" panose="02020603050405020304" pitchFamily="18" charset="0"/>
          </a:endParaRPr>
        </a:p>
      </xdr:txBody>
    </xdr:sp>
    <xdr:clientData/>
  </xdr:twoCellAnchor>
  <xdr:twoCellAnchor editAs="oneCell">
    <xdr:from>
      <xdr:col>9</xdr:col>
      <xdr:colOff>390383</xdr:colOff>
      <xdr:row>30</xdr:row>
      <xdr:rowOff>120953</xdr:rowOff>
    </xdr:from>
    <xdr:to>
      <xdr:col>10</xdr:col>
      <xdr:colOff>475478</xdr:colOff>
      <xdr:row>34</xdr:row>
      <xdr:rowOff>71481</xdr:rowOff>
    </xdr:to>
    <xdr:pic>
      <xdr:nvPicPr>
        <xdr:cNvPr id="2054" name="Picture 2053">
          <a:extLst>
            <a:ext uri="{FF2B5EF4-FFF2-40B4-BE49-F238E27FC236}">
              <a16:creationId xmlns:a16="http://schemas.microsoft.com/office/drawing/2014/main" id="{7B36A8C4-CA9B-0A8A-F973-0AE96192FCB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885575" y="5982491"/>
          <a:ext cx="695672" cy="732067"/>
        </a:xfrm>
        <a:prstGeom prst="rect">
          <a:avLst/>
        </a:prstGeom>
      </xdr:spPr>
    </xdr:pic>
    <xdr:clientData/>
  </xdr:twoCellAnchor>
  <xdr:twoCellAnchor editAs="oneCell">
    <xdr:from>
      <xdr:col>16</xdr:col>
      <xdr:colOff>369291</xdr:colOff>
      <xdr:row>31</xdr:row>
      <xdr:rowOff>39385</xdr:rowOff>
    </xdr:from>
    <xdr:to>
      <xdr:col>17</xdr:col>
      <xdr:colOff>269429</xdr:colOff>
      <xdr:row>34</xdr:row>
      <xdr:rowOff>0</xdr:rowOff>
    </xdr:to>
    <xdr:pic>
      <xdr:nvPicPr>
        <xdr:cNvPr id="2058" name="Picture 2057">
          <a:extLst>
            <a:ext uri="{FF2B5EF4-FFF2-40B4-BE49-F238E27FC236}">
              <a16:creationId xmlns:a16="http://schemas.microsoft.com/office/drawing/2014/main" id="{B7F370ED-7551-E39C-1C69-2184137014A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0138522" y="6096308"/>
          <a:ext cx="510715" cy="546769"/>
        </a:xfrm>
        <a:prstGeom prst="rect">
          <a:avLst/>
        </a:prstGeom>
      </xdr:spPr>
    </xdr:pic>
    <xdr:clientData/>
  </xdr:twoCellAnchor>
  <xdr:twoCellAnchor>
    <xdr:from>
      <xdr:col>10</xdr:col>
      <xdr:colOff>405889</xdr:colOff>
      <xdr:row>34</xdr:row>
      <xdr:rowOff>125217</xdr:rowOff>
    </xdr:from>
    <xdr:to>
      <xdr:col>13</xdr:col>
      <xdr:colOff>436127</xdr:colOff>
      <xdr:row>36</xdr:row>
      <xdr:rowOff>34503</xdr:rowOff>
    </xdr:to>
    <xdr:sp macro="" textlink="">
      <xdr:nvSpPr>
        <xdr:cNvPr id="2059" name="TextBox 2058">
          <a:extLst>
            <a:ext uri="{FF2B5EF4-FFF2-40B4-BE49-F238E27FC236}">
              <a16:creationId xmlns:a16="http://schemas.microsoft.com/office/drawing/2014/main" id="{65C03058-2C1D-1398-35C3-77C697C4884B}"/>
            </a:ext>
          </a:extLst>
        </xdr:cNvPr>
        <xdr:cNvSpPr txBox="1"/>
      </xdr:nvSpPr>
      <xdr:spPr>
        <a:xfrm>
          <a:off x="6511658" y="6768294"/>
          <a:ext cx="1861969" cy="300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0" i="0" u="none" strike="noStrike">
              <a:solidFill>
                <a:schemeClr val="accent4">
                  <a:lumMod val="60000"/>
                  <a:lumOff val="40000"/>
                </a:schemeClr>
              </a:solidFill>
              <a:effectLst/>
              <a:latin typeface="+mn-lt"/>
              <a:ea typeface="+mn-ea"/>
              <a:cs typeface="+mn-cs"/>
            </a:rPr>
            <a:t>584401.54</a:t>
          </a:r>
          <a:r>
            <a:rPr lang="en-US" sz="2400">
              <a:solidFill>
                <a:schemeClr val="accent4">
                  <a:lumMod val="60000"/>
                  <a:lumOff val="40000"/>
                </a:schemeClr>
              </a:solidFill>
              <a:effectLst/>
            </a:rPr>
            <a:t> </a:t>
          </a:r>
          <a:endParaRPr lang="en-US" sz="2400">
            <a:solidFill>
              <a:schemeClr val="accent4">
                <a:lumMod val="60000"/>
                <a:lumOff val="40000"/>
              </a:schemeClr>
            </a:solidFill>
          </a:endParaRPr>
        </a:p>
      </xdr:txBody>
    </xdr:sp>
    <xdr:clientData/>
  </xdr:twoCellAnchor>
  <xdr:twoCellAnchor>
    <xdr:from>
      <xdr:col>17</xdr:col>
      <xdr:colOff>447757</xdr:colOff>
      <xdr:row>34</xdr:row>
      <xdr:rowOff>93428</xdr:rowOff>
    </xdr:from>
    <xdr:to>
      <xdr:col>21</xdr:col>
      <xdr:colOff>165534</xdr:colOff>
      <xdr:row>36</xdr:row>
      <xdr:rowOff>93428</xdr:rowOff>
    </xdr:to>
    <xdr:sp macro="" textlink="">
      <xdr:nvSpPr>
        <xdr:cNvPr id="2060" name="TextBox 2059">
          <a:extLst>
            <a:ext uri="{FF2B5EF4-FFF2-40B4-BE49-F238E27FC236}">
              <a16:creationId xmlns:a16="http://schemas.microsoft.com/office/drawing/2014/main" id="{41B03207-EE60-F77C-471E-98893F7B1495}"/>
            </a:ext>
          </a:extLst>
        </xdr:cNvPr>
        <xdr:cNvSpPr txBox="1"/>
      </xdr:nvSpPr>
      <xdr:spPr>
        <a:xfrm>
          <a:off x="10827565" y="6736505"/>
          <a:ext cx="2160084" cy="3907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0" i="0" u="none" strike="noStrike">
              <a:solidFill>
                <a:schemeClr val="accent4">
                  <a:lumMod val="60000"/>
                  <a:lumOff val="40000"/>
                </a:schemeClr>
              </a:solidFill>
              <a:effectLst/>
              <a:latin typeface="+mn-lt"/>
              <a:ea typeface="+mn-ea"/>
              <a:cs typeface="+mn-cs"/>
            </a:rPr>
            <a:t>528752.22</a:t>
          </a:r>
          <a:r>
            <a:rPr lang="en-US">
              <a:solidFill>
                <a:schemeClr val="accent4">
                  <a:lumMod val="60000"/>
                  <a:lumOff val="40000"/>
                </a:schemeClr>
              </a:solidFill>
              <a:effectLst/>
            </a:rPr>
            <a:t> </a:t>
          </a:r>
          <a:endParaRPr lang="en-US" sz="1100">
            <a:solidFill>
              <a:schemeClr val="accent4">
                <a:lumMod val="60000"/>
                <a:lumOff val="40000"/>
              </a:schemeClr>
            </a:solidFill>
          </a:endParaRPr>
        </a:p>
      </xdr:txBody>
    </xdr:sp>
    <xdr:clientData/>
  </xdr:twoCellAnchor>
  <xdr:twoCellAnchor>
    <xdr:from>
      <xdr:col>31</xdr:col>
      <xdr:colOff>537307</xdr:colOff>
      <xdr:row>34</xdr:row>
      <xdr:rowOff>48846</xdr:rowOff>
    </xdr:from>
    <xdr:to>
      <xdr:col>36</xdr:col>
      <xdr:colOff>48846</xdr:colOff>
      <xdr:row>36</xdr:row>
      <xdr:rowOff>48846</xdr:rowOff>
    </xdr:to>
    <xdr:sp macro="" textlink="">
      <xdr:nvSpPr>
        <xdr:cNvPr id="2061" name="TextBox 2060">
          <a:extLst>
            <a:ext uri="{FF2B5EF4-FFF2-40B4-BE49-F238E27FC236}">
              <a16:creationId xmlns:a16="http://schemas.microsoft.com/office/drawing/2014/main" id="{5A505E37-2B17-0728-13F6-63F865C48F08}"/>
            </a:ext>
          </a:extLst>
        </xdr:cNvPr>
        <xdr:cNvSpPr txBox="1"/>
      </xdr:nvSpPr>
      <xdr:spPr>
        <a:xfrm>
          <a:off x="19465192" y="6691923"/>
          <a:ext cx="2564423" cy="3907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0" i="0" u="none" strike="noStrike">
              <a:solidFill>
                <a:schemeClr val="accent4">
                  <a:lumMod val="60000"/>
                  <a:lumOff val="40000"/>
                </a:schemeClr>
              </a:solidFill>
              <a:effectLst/>
              <a:latin typeface="+mn-lt"/>
              <a:ea typeface="+mn-ea"/>
              <a:cs typeface="+mn-cs"/>
            </a:rPr>
            <a:t>562056.63</a:t>
          </a:r>
          <a:r>
            <a:rPr lang="en-US" sz="1800">
              <a:solidFill>
                <a:schemeClr val="accent4">
                  <a:lumMod val="75000"/>
                </a:schemeClr>
              </a:solidFill>
              <a:effectLst/>
            </a:rPr>
            <a:t> </a:t>
          </a:r>
          <a:endParaRPr lang="en-US" sz="1800">
            <a:solidFill>
              <a:schemeClr val="accent4">
                <a:lumMod val="75000"/>
              </a:schemeClr>
            </a:solidFill>
          </a:endParaRPr>
        </a:p>
      </xdr:txBody>
    </xdr:sp>
    <xdr:clientData/>
  </xdr:twoCellAnchor>
  <xdr:twoCellAnchor editAs="oneCell">
    <xdr:from>
      <xdr:col>23</xdr:col>
      <xdr:colOff>535364</xdr:colOff>
      <xdr:row>30</xdr:row>
      <xdr:rowOff>170962</xdr:rowOff>
    </xdr:from>
    <xdr:to>
      <xdr:col>24</xdr:col>
      <xdr:colOff>535364</xdr:colOff>
      <xdr:row>34</xdr:row>
      <xdr:rowOff>0</xdr:rowOff>
    </xdr:to>
    <xdr:pic>
      <xdr:nvPicPr>
        <xdr:cNvPr id="2063" name="Picture 2062">
          <a:extLst>
            <a:ext uri="{FF2B5EF4-FFF2-40B4-BE49-F238E27FC236}">
              <a16:creationId xmlns:a16="http://schemas.microsoft.com/office/drawing/2014/main" id="{5525AA88-5A74-5E7B-C1A1-7D684706C5B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4578633" y="6032500"/>
          <a:ext cx="610577" cy="610577"/>
        </a:xfrm>
        <a:prstGeom prst="rect">
          <a:avLst/>
        </a:prstGeom>
      </xdr:spPr>
    </xdr:pic>
    <xdr:clientData/>
  </xdr:twoCellAnchor>
  <xdr:twoCellAnchor editAs="oneCell">
    <xdr:from>
      <xdr:col>31</xdr:col>
      <xdr:colOff>303362</xdr:colOff>
      <xdr:row>31</xdr:row>
      <xdr:rowOff>15645</xdr:rowOff>
    </xdr:from>
    <xdr:to>
      <xdr:col>32</xdr:col>
      <xdr:colOff>215832</xdr:colOff>
      <xdr:row>33</xdr:row>
      <xdr:rowOff>168090</xdr:rowOff>
    </xdr:to>
    <xdr:pic>
      <xdr:nvPicPr>
        <xdr:cNvPr id="2067" name="Picture 2066">
          <a:extLst>
            <a:ext uri="{FF2B5EF4-FFF2-40B4-BE49-F238E27FC236}">
              <a16:creationId xmlns:a16="http://schemas.microsoft.com/office/drawing/2014/main" id="{A5F1E0C8-5FB6-D916-4A6A-49516F0CEEA2}"/>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9409391" y="5805351"/>
          <a:ext cx="528794" cy="52597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79.510833564818" createdVersion="8" refreshedVersion="8" minRefreshableVersion="3" recordCount="567" xr:uid="{64DCBFCF-2990-468E-A5B8-4A0C598CBB7F}">
  <cacheSource type="worksheet">
    <worksheetSource name="Table1"/>
  </cacheSource>
  <cacheFields count="8">
    <cacheField name="Date" numFmtId="0">
      <sharedItems/>
    </cacheField>
    <cacheField name="Order_ID" numFmtId="0">
      <sharedItems/>
    </cacheField>
    <cacheField name="Region" numFmtId="0">
      <sharedItems count="4">
        <s v="North"/>
        <s v="West"/>
        <s v="South"/>
        <s v="East"/>
      </sharedItems>
    </cacheField>
    <cacheField name="Product_Category" numFmtId="0">
      <sharedItems count="4">
        <s v="Clothing"/>
        <s v="Grocery"/>
        <s v="Electronics"/>
        <s v="Furniture"/>
      </sharedItems>
    </cacheField>
    <cacheField name="Product_Name" numFmtId="0">
      <sharedItems count="16">
        <s v="Jacket"/>
        <s v="Jeans"/>
        <s v="Snacks Pack"/>
        <s v="T-Shirt"/>
        <s v="Cooking Oil"/>
        <s v="Headphones"/>
        <s v="Shoes"/>
        <s v="Cupboard"/>
        <s v="Table"/>
        <s v="Chair"/>
        <s v="Tablet"/>
        <s v="Beverages"/>
        <s v="Smartphone"/>
        <s v="Laptop"/>
        <s v="Rice Bag"/>
        <s v="Desk"/>
      </sharedItems>
    </cacheField>
    <cacheField name="Sales_Amount" numFmtId="0">
      <sharedItems containsSemiMixedTypes="0" containsString="0" containsNumber="1" minValue="562.96" maxValue="49920.34"/>
    </cacheField>
    <cacheField name="Profit" numFmtId="0">
      <sharedItems containsSemiMixedTypes="0" containsString="0" containsNumber="1" minValue="68.72" maxValue="12172.48"/>
    </cacheField>
    <cacheField name="Unit Price" numFmtId="0">
      <sharedItems containsSemiMixedTypes="0" containsString="0" containsNumber="1" containsInteger="1" minValue="11" maxValue="1997"/>
    </cacheField>
  </cacheFields>
  <extLst>
    <ext xmlns:x14="http://schemas.microsoft.com/office/spreadsheetml/2009/9/main" uri="{725AE2AE-9491-48be-B2B4-4EB974FC3084}">
      <x14:pivotCacheDefinition pivotCacheId="802691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7">
  <r>
    <s v="2024-07-07"/>
    <s v="ORD0001"/>
    <x v="0"/>
    <x v="0"/>
    <x v="0"/>
    <n v="33760.639999999999"/>
    <n v="2218.5300000000002"/>
    <n v="1911"/>
  </r>
  <r>
    <s v="2024-03-14"/>
    <s v="ORD0002"/>
    <x v="0"/>
    <x v="0"/>
    <x v="1"/>
    <n v="16144.25"/>
    <n v="2526.54"/>
    <n v="1836"/>
  </r>
  <r>
    <s v="2024-11-02"/>
    <s v="ORD0003"/>
    <x v="1"/>
    <x v="1"/>
    <x v="2"/>
    <n v="4774.2700000000004"/>
    <n v="794.61"/>
    <n v="1746"/>
  </r>
  <r>
    <s v="2024-08-20"/>
    <s v="ORD0004"/>
    <x v="0"/>
    <x v="0"/>
    <x v="3"/>
    <n v="46299.29"/>
    <n v="9452.34"/>
    <n v="1025"/>
  </r>
  <r>
    <s v="2024-05-04"/>
    <s v="ORD0005"/>
    <x v="1"/>
    <x v="1"/>
    <x v="4"/>
    <n v="38558.68"/>
    <n v="6608.81"/>
    <n v="1113"/>
  </r>
  <r>
    <s v="2024-02-24"/>
    <s v="ORD0006"/>
    <x v="0"/>
    <x v="0"/>
    <x v="0"/>
    <n v="42648.62"/>
    <n v="3296.92"/>
    <n v="381"/>
  </r>
  <r>
    <s v="2024-12-31"/>
    <s v="ORD0007"/>
    <x v="2"/>
    <x v="2"/>
    <x v="5"/>
    <n v="18761.13"/>
    <n v="3766.55"/>
    <n v="154"/>
  </r>
  <r>
    <s v="2024-12-25"/>
    <s v="ORD0008"/>
    <x v="0"/>
    <x v="1"/>
    <x v="4"/>
    <n v="21421.9"/>
    <n v="4425.5200000000004"/>
    <n v="296"/>
  </r>
  <r>
    <s v="2024-03-14"/>
    <s v="ORD0009"/>
    <x v="0"/>
    <x v="1"/>
    <x v="2"/>
    <n v="31426.15"/>
    <n v="5575.56"/>
    <n v="1740"/>
  </r>
  <r>
    <s v="2024-02-18"/>
    <s v="ORD0010"/>
    <x v="1"/>
    <x v="0"/>
    <x v="1"/>
    <n v="37757.910000000003"/>
    <n v="3505.02"/>
    <n v="1426"/>
  </r>
  <r>
    <s v="2024-09-10"/>
    <s v="ORD0011"/>
    <x v="2"/>
    <x v="0"/>
    <x v="6"/>
    <n v="10494.62"/>
    <n v="1628.61"/>
    <n v="1145"/>
  </r>
  <r>
    <s v="2024-02-21"/>
    <s v="ORD0012"/>
    <x v="0"/>
    <x v="3"/>
    <x v="7"/>
    <n v="41160.300000000003"/>
    <n v="7824.96"/>
    <n v="1492"/>
  </r>
  <r>
    <s v="2024-06-13"/>
    <s v="ORD0013"/>
    <x v="2"/>
    <x v="3"/>
    <x v="8"/>
    <n v="16203.14"/>
    <n v="1287.76"/>
    <n v="495"/>
  </r>
  <r>
    <s v="2024-05-15"/>
    <s v="ORD0014"/>
    <x v="0"/>
    <x v="3"/>
    <x v="9"/>
    <n v="32819.85"/>
    <n v="7608.56"/>
    <n v="1766"/>
  </r>
  <r>
    <s v="2024-07-09"/>
    <s v="ORD0015"/>
    <x v="1"/>
    <x v="2"/>
    <x v="10"/>
    <n v="37273.29"/>
    <n v="9064.3799999999992"/>
    <n v="1693"/>
  </r>
  <r>
    <s v="2024-09-27"/>
    <s v="ORD0016"/>
    <x v="0"/>
    <x v="0"/>
    <x v="3"/>
    <n v="21302.47"/>
    <n v="3858.87"/>
    <n v="1924"/>
  </r>
  <r>
    <s v="2024-09-20"/>
    <s v="ORD0017"/>
    <x v="1"/>
    <x v="0"/>
    <x v="6"/>
    <n v="17523.189999999999"/>
    <n v="1142.1400000000001"/>
    <n v="814"/>
  </r>
  <r>
    <s v="2024-01-24"/>
    <s v="ORD0018"/>
    <x v="3"/>
    <x v="1"/>
    <x v="11"/>
    <n v="26087.42"/>
    <n v="5171.95"/>
    <n v="942"/>
  </r>
  <r>
    <s v="2024-02-23"/>
    <s v="ORD0019"/>
    <x v="3"/>
    <x v="0"/>
    <x v="3"/>
    <n v="2190.7600000000002"/>
    <n v="458.87"/>
    <n v="1892"/>
  </r>
  <r>
    <s v="2024-02-13"/>
    <s v="ORD0020"/>
    <x v="2"/>
    <x v="3"/>
    <x v="8"/>
    <n v="26515.02"/>
    <n v="3189.89"/>
    <n v="674"/>
  </r>
  <r>
    <s v="2024-07-08"/>
    <s v="ORD0021"/>
    <x v="1"/>
    <x v="2"/>
    <x v="5"/>
    <n v="28214.97"/>
    <n v="6683.09"/>
    <n v="1164"/>
  </r>
  <r>
    <s v="2024-01-18"/>
    <s v="ORD0022"/>
    <x v="1"/>
    <x v="0"/>
    <x v="0"/>
    <n v="23719.4"/>
    <n v="5692.42"/>
    <n v="30"/>
  </r>
  <r>
    <s v="2024-07-31"/>
    <s v="ORD0023"/>
    <x v="1"/>
    <x v="3"/>
    <x v="7"/>
    <n v="13616.41"/>
    <n v="3067.53"/>
    <n v="476"/>
  </r>
  <r>
    <s v="2024-08-19"/>
    <s v="ORD0024"/>
    <x v="1"/>
    <x v="2"/>
    <x v="12"/>
    <n v="2423.6"/>
    <n v="474.44"/>
    <n v="1583"/>
  </r>
  <r>
    <s v="2024-04-22"/>
    <s v="ORD0025"/>
    <x v="0"/>
    <x v="2"/>
    <x v="13"/>
    <n v="37860.47"/>
    <n v="4246.75"/>
    <n v="163"/>
  </r>
  <r>
    <s v="2024-05-20"/>
    <s v="ORD0026"/>
    <x v="3"/>
    <x v="0"/>
    <x v="1"/>
    <n v="29775.24"/>
    <n v="4488.8500000000004"/>
    <n v="1118"/>
  </r>
  <r>
    <s v="2024-05-10"/>
    <s v="ORD0027"/>
    <x v="2"/>
    <x v="3"/>
    <x v="8"/>
    <n v="5176.46"/>
    <n v="1014.08"/>
    <n v="1412"/>
  </r>
  <r>
    <s v="2024-11-14"/>
    <s v="ORD0028"/>
    <x v="2"/>
    <x v="2"/>
    <x v="5"/>
    <n v="34306.32"/>
    <n v="3907.43"/>
    <n v="1425"/>
  </r>
  <r>
    <s v="2024-03-29"/>
    <s v="ORD0029"/>
    <x v="2"/>
    <x v="2"/>
    <x v="5"/>
    <n v="45050.19"/>
    <n v="6367.59"/>
    <n v="480"/>
  </r>
  <r>
    <s v="2024-04-01"/>
    <s v="ORD0030"/>
    <x v="0"/>
    <x v="1"/>
    <x v="2"/>
    <n v="20673.98"/>
    <n v="3472.99"/>
    <n v="1227"/>
  </r>
  <r>
    <s v="2024-09-28"/>
    <s v="ORD0031"/>
    <x v="3"/>
    <x v="3"/>
    <x v="8"/>
    <n v="37847.269999999997"/>
    <n v="8660.81"/>
    <n v="1300"/>
  </r>
  <r>
    <s v="2024-11-18"/>
    <s v="ORD0032"/>
    <x v="0"/>
    <x v="1"/>
    <x v="14"/>
    <n v="49227.34"/>
    <n v="4909.6899999999996"/>
    <n v="410"/>
  </r>
  <r>
    <s v="2024-10-24"/>
    <s v="ORD0033"/>
    <x v="3"/>
    <x v="0"/>
    <x v="3"/>
    <n v="13803.59"/>
    <n v="1430.04"/>
    <n v="375"/>
  </r>
  <r>
    <s v="2024-09-29"/>
    <s v="ORD0034"/>
    <x v="0"/>
    <x v="0"/>
    <x v="0"/>
    <n v="43602.3"/>
    <n v="8246.2999999999993"/>
    <n v="1233"/>
  </r>
  <r>
    <s v="2024-07-23"/>
    <s v="ORD0035"/>
    <x v="2"/>
    <x v="1"/>
    <x v="14"/>
    <n v="5923.19"/>
    <n v="582.54"/>
    <n v="431"/>
  </r>
  <r>
    <s v="2024-08-01"/>
    <s v="ORD0036"/>
    <x v="3"/>
    <x v="1"/>
    <x v="11"/>
    <n v="30446.99"/>
    <n v="1922.35"/>
    <n v="798"/>
  </r>
  <r>
    <s v="2024-02-24"/>
    <s v="ORD0037"/>
    <x v="1"/>
    <x v="3"/>
    <x v="7"/>
    <n v="39899.07"/>
    <n v="5253.5"/>
    <n v="1059"/>
  </r>
  <r>
    <s v="2024-02-21"/>
    <s v="ORD0038"/>
    <x v="3"/>
    <x v="1"/>
    <x v="14"/>
    <n v="3881.4"/>
    <n v="884.23"/>
    <n v="1778"/>
  </r>
  <r>
    <s v="2024-10-14"/>
    <s v="ORD0039"/>
    <x v="3"/>
    <x v="0"/>
    <x v="1"/>
    <n v="28065.98"/>
    <n v="3948.51"/>
    <n v="1543"/>
  </r>
  <r>
    <s v="2024-07-15"/>
    <s v="ORD0040"/>
    <x v="2"/>
    <x v="0"/>
    <x v="0"/>
    <n v="33444.58"/>
    <n v="7813.69"/>
    <n v="648"/>
  </r>
  <r>
    <s v="2024-11-16"/>
    <s v="ORD0041"/>
    <x v="3"/>
    <x v="3"/>
    <x v="8"/>
    <n v="1870.55"/>
    <n v="129.08000000000001"/>
    <n v="237"/>
  </r>
  <r>
    <s v="2024-05-14"/>
    <s v="ORD0042"/>
    <x v="3"/>
    <x v="3"/>
    <x v="15"/>
    <n v="22357.08"/>
    <n v="2824.68"/>
    <n v="1537"/>
  </r>
  <r>
    <s v="2024-12-16"/>
    <s v="ORD0043"/>
    <x v="0"/>
    <x v="1"/>
    <x v="14"/>
    <n v="26028.66"/>
    <n v="2160.7399999999998"/>
    <n v="969"/>
  </r>
  <r>
    <s v="2024-08-29"/>
    <s v="ORD0044"/>
    <x v="3"/>
    <x v="2"/>
    <x v="5"/>
    <n v="42731.24"/>
    <n v="7287.86"/>
    <n v="824"/>
  </r>
  <r>
    <s v="2024-04-09"/>
    <s v="ORD0045"/>
    <x v="3"/>
    <x v="3"/>
    <x v="9"/>
    <n v="40048.69"/>
    <n v="8555.86"/>
    <n v="1997"/>
  </r>
  <r>
    <s v="2024-04-08"/>
    <s v="ORD0046"/>
    <x v="2"/>
    <x v="1"/>
    <x v="11"/>
    <n v="43218.54"/>
    <n v="10335.290000000001"/>
    <n v="1359"/>
  </r>
  <r>
    <s v="2024-10-07"/>
    <s v="ORD0047"/>
    <x v="2"/>
    <x v="1"/>
    <x v="4"/>
    <n v="22737.75"/>
    <n v="2244.36"/>
    <n v="811"/>
  </r>
  <r>
    <s v="2024-05-27"/>
    <s v="ORD0048"/>
    <x v="2"/>
    <x v="1"/>
    <x v="14"/>
    <n v="5328.41"/>
    <n v="355.26"/>
    <n v="295"/>
  </r>
  <r>
    <s v="2024-10-03"/>
    <s v="ORD0049"/>
    <x v="1"/>
    <x v="0"/>
    <x v="0"/>
    <n v="31286.97"/>
    <n v="2730.49"/>
    <n v="487"/>
  </r>
  <r>
    <s v="2024-06-12"/>
    <s v="ORD0050"/>
    <x v="3"/>
    <x v="2"/>
    <x v="12"/>
    <n v="21662.31"/>
    <n v="4069.63"/>
    <n v="291"/>
  </r>
  <r>
    <s v="2024-10-03"/>
    <s v="ORD0051"/>
    <x v="2"/>
    <x v="1"/>
    <x v="11"/>
    <n v="14452.56"/>
    <n v="2003.72"/>
    <n v="1126"/>
  </r>
  <r>
    <s v="2024-04-07"/>
    <s v="ORD0052"/>
    <x v="0"/>
    <x v="1"/>
    <x v="11"/>
    <n v="3127.56"/>
    <n v="537.77"/>
    <n v="142"/>
  </r>
  <r>
    <s v="2024-12-13"/>
    <s v="ORD0053"/>
    <x v="0"/>
    <x v="2"/>
    <x v="12"/>
    <n v="5878.65"/>
    <n v="592.41"/>
    <n v="98"/>
  </r>
  <r>
    <s v="2024-02-26"/>
    <s v="ORD0054"/>
    <x v="2"/>
    <x v="2"/>
    <x v="10"/>
    <n v="24853.21"/>
    <n v="3064.07"/>
    <n v="1586"/>
  </r>
  <r>
    <s v="2024-04-02"/>
    <s v="ORD0055"/>
    <x v="1"/>
    <x v="1"/>
    <x v="2"/>
    <n v="13789.47"/>
    <n v="1191.1600000000001"/>
    <n v="1970"/>
  </r>
  <r>
    <s v="2024-01-04"/>
    <s v="ORD0056"/>
    <x v="1"/>
    <x v="2"/>
    <x v="13"/>
    <n v="47622.97"/>
    <n v="6469.84"/>
    <n v="1332"/>
  </r>
  <r>
    <s v="2024-08-09"/>
    <s v="ORD0057"/>
    <x v="3"/>
    <x v="3"/>
    <x v="15"/>
    <n v="49148.94"/>
    <n v="11666.4"/>
    <n v="319"/>
  </r>
  <r>
    <s v="2024-02-29"/>
    <s v="ORD0058"/>
    <x v="3"/>
    <x v="2"/>
    <x v="10"/>
    <n v="5620.55"/>
    <n v="1003.79"/>
    <n v="11"/>
  </r>
  <r>
    <s v="2024-06-06"/>
    <s v="ORD0059"/>
    <x v="0"/>
    <x v="2"/>
    <x v="10"/>
    <n v="8318.1299999999992"/>
    <n v="1213.03"/>
    <n v="358"/>
  </r>
  <r>
    <s v="2024-12-04"/>
    <s v="ORD0060"/>
    <x v="0"/>
    <x v="1"/>
    <x v="2"/>
    <n v="4329.21"/>
    <n v="407.43"/>
    <n v="67"/>
  </r>
  <r>
    <s v="2024-02-06"/>
    <s v="ORD0061"/>
    <x v="0"/>
    <x v="1"/>
    <x v="11"/>
    <n v="20106.599999999999"/>
    <n v="1052.82"/>
    <n v="1913"/>
  </r>
  <r>
    <s v="2024-06-26"/>
    <s v="ORD0062"/>
    <x v="3"/>
    <x v="0"/>
    <x v="0"/>
    <n v="3549.49"/>
    <n v="254.25"/>
    <n v="359"/>
  </r>
  <r>
    <s v="2024-05-19"/>
    <s v="ORD0063"/>
    <x v="1"/>
    <x v="3"/>
    <x v="9"/>
    <n v="39259.56"/>
    <n v="7808.72"/>
    <n v="1520"/>
  </r>
  <r>
    <s v="2024-10-04"/>
    <s v="ORD0064"/>
    <x v="1"/>
    <x v="1"/>
    <x v="14"/>
    <n v="29437.599999999999"/>
    <n v="2759.88"/>
    <n v="1672"/>
  </r>
  <r>
    <s v="2024-01-25"/>
    <s v="ORD0065"/>
    <x v="2"/>
    <x v="1"/>
    <x v="11"/>
    <n v="35836.870000000003"/>
    <n v="7972.98"/>
    <n v="178"/>
  </r>
  <r>
    <s v="2024-12-03"/>
    <s v="ORD0066"/>
    <x v="0"/>
    <x v="3"/>
    <x v="9"/>
    <n v="24807.61"/>
    <n v="2443.73"/>
    <n v="162"/>
  </r>
  <r>
    <s v="2024-04-09"/>
    <s v="ORD0067"/>
    <x v="1"/>
    <x v="2"/>
    <x v="5"/>
    <n v="8586.82"/>
    <n v="705.82"/>
    <n v="912"/>
  </r>
  <r>
    <s v="2024-02-25"/>
    <s v="ORD0068"/>
    <x v="2"/>
    <x v="1"/>
    <x v="14"/>
    <n v="45707.34"/>
    <n v="6048.28"/>
    <n v="1115"/>
  </r>
  <r>
    <s v="2024-12-08"/>
    <s v="ORD0069"/>
    <x v="1"/>
    <x v="0"/>
    <x v="1"/>
    <n v="46798.7"/>
    <n v="5560.41"/>
    <n v="878"/>
  </r>
  <r>
    <s v="2024-06-01"/>
    <s v="ORD0070"/>
    <x v="1"/>
    <x v="1"/>
    <x v="11"/>
    <n v="24986.240000000002"/>
    <n v="3758.52"/>
    <n v="1856"/>
  </r>
  <r>
    <s v="2024-09-04"/>
    <s v="ORD0071"/>
    <x v="3"/>
    <x v="2"/>
    <x v="12"/>
    <n v="1353.1"/>
    <n v="307.07"/>
    <n v="1232"/>
  </r>
  <r>
    <s v="2024-09-13"/>
    <s v="ORD0072"/>
    <x v="0"/>
    <x v="2"/>
    <x v="10"/>
    <n v="4815.46"/>
    <n v="676.84"/>
    <n v="987"/>
  </r>
  <r>
    <s v="2024-10-23"/>
    <s v="ORD0073"/>
    <x v="3"/>
    <x v="3"/>
    <x v="7"/>
    <n v="37875.15"/>
    <n v="2488.2399999999998"/>
    <n v="973"/>
  </r>
  <r>
    <s v="2024-01-01"/>
    <s v="ORD0074"/>
    <x v="2"/>
    <x v="0"/>
    <x v="1"/>
    <n v="48350.03"/>
    <n v="6556.02"/>
    <n v="1397"/>
  </r>
  <r>
    <s v="2024-05-20"/>
    <s v="ORD0075"/>
    <x v="0"/>
    <x v="1"/>
    <x v="2"/>
    <n v="14400.1"/>
    <n v="2897.53"/>
    <n v="240"/>
  </r>
  <r>
    <s v="2024-12-11"/>
    <s v="ORD0076"/>
    <x v="3"/>
    <x v="1"/>
    <x v="14"/>
    <n v="7585.4"/>
    <n v="752.57"/>
    <n v="374"/>
  </r>
  <r>
    <s v="2024-06-14"/>
    <s v="ORD0077"/>
    <x v="1"/>
    <x v="1"/>
    <x v="4"/>
    <n v="3522.93"/>
    <n v="304.05"/>
    <n v="1592"/>
  </r>
  <r>
    <s v="2024-04-09"/>
    <s v="ORD0078"/>
    <x v="3"/>
    <x v="1"/>
    <x v="4"/>
    <n v="44727.28"/>
    <n v="3873.24"/>
    <n v="650"/>
  </r>
  <r>
    <s v="2024-09-09"/>
    <s v="ORD0079"/>
    <x v="2"/>
    <x v="2"/>
    <x v="13"/>
    <n v="20621.53"/>
    <n v="3055.64"/>
    <n v="468"/>
  </r>
  <r>
    <s v="2024-02-16"/>
    <s v="ORD0080"/>
    <x v="0"/>
    <x v="2"/>
    <x v="5"/>
    <n v="14558.74"/>
    <n v="2347.1999999999998"/>
    <n v="646"/>
  </r>
  <r>
    <s v="2024-09-21"/>
    <s v="ORD0081"/>
    <x v="3"/>
    <x v="0"/>
    <x v="6"/>
    <n v="12715.04"/>
    <n v="837.51"/>
    <n v="486"/>
  </r>
  <r>
    <s v="2024-04-12"/>
    <s v="ORD0082"/>
    <x v="0"/>
    <x v="0"/>
    <x v="1"/>
    <n v="43698.54"/>
    <n v="7544.33"/>
    <n v="459"/>
  </r>
  <r>
    <s v="2024-02-14"/>
    <s v="ORD0083"/>
    <x v="3"/>
    <x v="0"/>
    <x v="3"/>
    <n v="14833.66"/>
    <n v="3260.94"/>
    <n v="704"/>
  </r>
  <r>
    <s v="2024-01-16"/>
    <s v="ORD0084"/>
    <x v="0"/>
    <x v="2"/>
    <x v="10"/>
    <n v="35585.129999999997"/>
    <n v="6980.3"/>
    <n v="556"/>
  </r>
  <r>
    <s v="2024-10-17"/>
    <s v="ORD0085"/>
    <x v="2"/>
    <x v="3"/>
    <x v="7"/>
    <n v="17687.349999999999"/>
    <n v="3779.05"/>
    <n v="1712"/>
  </r>
  <r>
    <s v="2024-10-09"/>
    <s v="ORD0086"/>
    <x v="3"/>
    <x v="0"/>
    <x v="3"/>
    <n v="5296.17"/>
    <n v="1081.76"/>
    <n v="1917"/>
  </r>
  <r>
    <s v="2024-01-29"/>
    <s v="ORD0087"/>
    <x v="2"/>
    <x v="3"/>
    <x v="8"/>
    <n v="22145.91"/>
    <n v="4992.66"/>
    <n v="1241"/>
  </r>
  <r>
    <s v="2024-11-29"/>
    <s v="ORD0088"/>
    <x v="1"/>
    <x v="2"/>
    <x v="12"/>
    <n v="5247.92"/>
    <n v="501.45"/>
    <n v="1148"/>
  </r>
  <r>
    <s v="2024-10-01"/>
    <s v="ORD0089"/>
    <x v="0"/>
    <x v="2"/>
    <x v="5"/>
    <n v="2977.88"/>
    <n v="367.09"/>
    <n v="1038"/>
  </r>
  <r>
    <s v="2024-04-18"/>
    <s v="ORD0090"/>
    <x v="3"/>
    <x v="2"/>
    <x v="13"/>
    <n v="29193.68"/>
    <n v="4351.58"/>
    <n v="608"/>
  </r>
  <r>
    <s v="2024-09-26"/>
    <s v="ORD0091"/>
    <x v="0"/>
    <x v="1"/>
    <x v="14"/>
    <n v="8509.66"/>
    <n v="1891.11"/>
    <n v="1893"/>
  </r>
  <r>
    <s v="2024-05-20"/>
    <s v="ORD0092"/>
    <x v="0"/>
    <x v="1"/>
    <x v="2"/>
    <n v="41558.74"/>
    <n v="7464.5"/>
    <n v="661"/>
  </r>
  <r>
    <s v="2024-12-15"/>
    <s v="ORD0093"/>
    <x v="2"/>
    <x v="0"/>
    <x v="1"/>
    <n v="49157.47"/>
    <n v="7446.04"/>
    <n v="1507"/>
  </r>
  <r>
    <s v="2024-07-06"/>
    <s v="ORD0094"/>
    <x v="3"/>
    <x v="1"/>
    <x v="4"/>
    <n v="22872.9"/>
    <n v="3421.71"/>
    <n v="43"/>
  </r>
  <r>
    <s v="2024-12-29"/>
    <s v="ORD0095"/>
    <x v="2"/>
    <x v="1"/>
    <x v="4"/>
    <n v="38885.629999999997"/>
    <n v="3369.84"/>
    <n v="838"/>
  </r>
  <r>
    <s v="2024-04-19"/>
    <s v="ORD0096"/>
    <x v="2"/>
    <x v="3"/>
    <x v="7"/>
    <n v="24318.17"/>
    <n v="5339.45"/>
    <n v="1257"/>
  </r>
  <r>
    <s v="2024-09-23"/>
    <s v="ORD0097"/>
    <x v="0"/>
    <x v="3"/>
    <x v="8"/>
    <n v="5795.85"/>
    <n v="1130.24"/>
    <n v="1785"/>
  </r>
  <r>
    <s v="2024-01-27"/>
    <s v="ORD0098"/>
    <x v="3"/>
    <x v="0"/>
    <x v="6"/>
    <n v="9442.8799999999992"/>
    <n v="1825.88"/>
    <n v="1423"/>
  </r>
  <r>
    <s v="2024-01-27"/>
    <s v="ORD0099"/>
    <x v="2"/>
    <x v="0"/>
    <x v="6"/>
    <n v="38167.56"/>
    <n v="6757.62"/>
    <n v="402"/>
  </r>
  <r>
    <s v="2024-05-21"/>
    <s v="ORD0100"/>
    <x v="0"/>
    <x v="1"/>
    <x v="4"/>
    <n v="33632.01"/>
    <n v="4645.41"/>
    <n v="442"/>
  </r>
  <r>
    <s v="2024-01-21"/>
    <s v="ORD0101"/>
    <x v="0"/>
    <x v="3"/>
    <x v="8"/>
    <n v="10733.06"/>
    <n v="2156.8000000000002"/>
    <n v="694"/>
  </r>
  <r>
    <s v="2024-09-28"/>
    <s v="ORD0102"/>
    <x v="1"/>
    <x v="2"/>
    <x v="5"/>
    <n v="30410.74"/>
    <n v="4958.47"/>
    <n v="1380"/>
  </r>
  <r>
    <s v="2024-02-16"/>
    <s v="ORD0103"/>
    <x v="0"/>
    <x v="3"/>
    <x v="8"/>
    <n v="3200.83"/>
    <n v="618.69000000000005"/>
    <n v="386"/>
  </r>
  <r>
    <s v="2024-01-22"/>
    <s v="ORD0104"/>
    <x v="3"/>
    <x v="2"/>
    <x v="12"/>
    <n v="47083.83"/>
    <n v="7633.13"/>
    <n v="896"/>
  </r>
  <r>
    <s v="2024-03-22"/>
    <s v="ORD0105"/>
    <x v="3"/>
    <x v="3"/>
    <x v="15"/>
    <n v="18123.62"/>
    <n v="3111.4"/>
    <n v="471"/>
  </r>
  <r>
    <s v="2024-01-17"/>
    <s v="ORD0106"/>
    <x v="2"/>
    <x v="2"/>
    <x v="13"/>
    <n v="26371.51"/>
    <n v="1536.96"/>
    <n v="1409"/>
  </r>
  <r>
    <s v="2024-01-27"/>
    <s v="ORD0107"/>
    <x v="3"/>
    <x v="1"/>
    <x v="11"/>
    <n v="40751.919999999998"/>
    <n v="4081.93"/>
    <n v="522"/>
  </r>
  <r>
    <s v="2024-11-04"/>
    <s v="ORD0108"/>
    <x v="3"/>
    <x v="0"/>
    <x v="6"/>
    <n v="35064.65"/>
    <n v="8081.29"/>
    <n v="371"/>
  </r>
  <r>
    <s v="2024-03-29"/>
    <s v="ORD0109"/>
    <x v="1"/>
    <x v="2"/>
    <x v="12"/>
    <n v="35713.550000000003"/>
    <n v="7837.87"/>
    <n v="430"/>
  </r>
  <r>
    <s v="2024-02-09"/>
    <s v="ORD0110"/>
    <x v="2"/>
    <x v="0"/>
    <x v="1"/>
    <n v="33744.639999999999"/>
    <n v="5842.59"/>
    <n v="855"/>
  </r>
  <r>
    <s v="2024-01-06"/>
    <s v="ORD0111"/>
    <x v="2"/>
    <x v="1"/>
    <x v="2"/>
    <n v="22085.79"/>
    <n v="2571.79"/>
    <n v="501"/>
  </r>
  <r>
    <s v="2024-12-25"/>
    <s v="ORD0112"/>
    <x v="0"/>
    <x v="3"/>
    <x v="9"/>
    <n v="28895.919999999998"/>
    <n v="6414.75"/>
    <n v="1570"/>
  </r>
  <r>
    <s v="2024-11-10"/>
    <s v="ORD0113"/>
    <x v="2"/>
    <x v="1"/>
    <x v="11"/>
    <n v="26933.33"/>
    <n v="4713.8100000000004"/>
    <n v="1862"/>
  </r>
  <r>
    <s v="2024-09-28"/>
    <s v="ORD0114"/>
    <x v="1"/>
    <x v="2"/>
    <x v="5"/>
    <n v="48060.36"/>
    <n v="7720.14"/>
    <n v="218"/>
  </r>
  <r>
    <s v="2024-02-06"/>
    <s v="ORD0115"/>
    <x v="2"/>
    <x v="0"/>
    <x v="1"/>
    <n v="39197.51"/>
    <n v="3761.53"/>
    <n v="1721"/>
  </r>
  <r>
    <s v="2024-08-24"/>
    <s v="ORD0116"/>
    <x v="0"/>
    <x v="3"/>
    <x v="9"/>
    <n v="45931.29"/>
    <n v="4486.93"/>
    <n v="1428"/>
  </r>
  <r>
    <s v="2024-05-24"/>
    <s v="ORD0117"/>
    <x v="0"/>
    <x v="1"/>
    <x v="4"/>
    <n v="16179.78"/>
    <n v="2119.17"/>
    <n v="165"/>
  </r>
  <r>
    <s v="2024-04-28"/>
    <s v="ORD0118"/>
    <x v="3"/>
    <x v="1"/>
    <x v="2"/>
    <n v="23672.65"/>
    <n v="3056.66"/>
    <n v="1453"/>
  </r>
  <r>
    <s v="2024-06-07"/>
    <s v="ORD0119"/>
    <x v="2"/>
    <x v="0"/>
    <x v="0"/>
    <n v="29011.88"/>
    <n v="4518.04"/>
    <n v="1513"/>
  </r>
  <r>
    <s v="2024-08-31"/>
    <s v="ORD0120"/>
    <x v="3"/>
    <x v="2"/>
    <x v="10"/>
    <n v="17997.900000000001"/>
    <n v="1497.49"/>
    <n v="718"/>
  </r>
  <r>
    <s v="2024-08-27"/>
    <s v="ORD0121"/>
    <x v="0"/>
    <x v="0"/>
    <x v="6"/>
    <n v="47006.26"/>
    <n v="6442.17"/>
    <n v="447"/>
  </r>
  <r>
    <s v="2024-01-10"/>
    <s v="ORD0122"/>
    <x v="1"/>
    <x v="1"/>
    <x v="4"/>
    <n v="35347.74"/>
    <n v="6187.76"/>
    <n v="1067"/>
  </r>
  <r>
    <s v="2024-06-05"/>
    <s v="ORD0123"/>
    <x v="0"/>
    <x v="1"/>
    <x v="4"/>
    <n v="41098.339999999997"/>
    <n v="4364.2"/>
    <n v="1296"/>
  </r>
  <r>
    <s v="2024-02-02"/>
    <s v="ORD0124"/>
    <x v="0"/>
    <x v="2"/>
    <x v="5"/>
    <n v="49549.82"/>
    <n v="3735.23"/>
    <n v="553"/>
  </r>
  <r>
    <s v="2024-08-27"/>
    <s v="ORD0125"/>
    <x v="3"/>
    <x v="2"/>
    <x v="10"/>
    <n v="10189.84"/>
    <n v="1910.43"/>
    <n v="931"/>
  </r>
  <r>
    <s v="2024-12-10"/>
    <s v="ORD0126"/>
    <x v="2"/>
    <x v="0"/>
    <x v="0"/>
    <n v="39434.32"/>
    <n v="3548.36"/>
    <n v="1977"/>
  </r>
  <r>
    <s v="2024-08-28"/>
    <s v="ORD0127"/>
    <x v="0"/>
    <x v="3"/>
    <x v="8"/>
    <n v="18977.22"/>
    <n v="2233.34"/>
    <n v="450"/>
  </r>
  <r>
    <s v="2024-07-08"/>
    <s v="ORD0128"/>
    <x v="3"/>
    <x v="1"/>
    <x v="14"/>
    <n v="5321.43"/>
    <n v="1241.79"/>
    <n v="1213"/>
  </r>
  <r>
    <s v="2024-02-07"/>
    <s v="ORD0129"/>
    <x v="2"/>
    <x v="3"/>
    <x v="7"/>
    <n v="16952.62"/>
    <n v="1578.69"/>
    <n v="852"/>
  </r>
  <r>
    <s v="2024-03-28"/>
    <s v="ORD0130"/>
    <x v="2"/>
    <x v="3"/>
    <x v="15"/>
    <n v="19285.86"/>
    <n v="1466.89"/>
    <n v="624"/>
  </r>
  <r>
    <s v="2024-06-01"/>
    <s v="ORD0131"/>
    <x v="0"/>
    <x v="1"/>
    <x v="14"/>
    <n v="48125.35"/>
    <n v="7128.34"/>
    <n v="481"/>
  </r>
  <r>
    <s v="2024-02-05"/>
    <s v="ORD0132"/>
    <x v="2"/>
    <x v="3"/>
    <x v="15"/>
    <n v="18304.189999999999"/>
    <n v="4467.83"/>
    <n v="168"/>
  </r>
  <r>
    <s v="2024-08-25"/>
    <s v="ORD0133"/>
    <x v="3"/>
    <x v="0"/>
    <x v="6"/>
    <n v="37384.379999999997"/>
    <n v="8270.77"/>
    <n v="94"/>
  </r>
  <r>
    <s v="2024-07-07"/>
    <s v="ORD0134"/>
    <x v="1"/>
    <x v="0"/>
    <x v="6"/>
    <n v="17181.29"/>
    <n v="3793.05"/>
    <n v="94"/>
  </r>
  <r>
    <s v="2024-08-28"/>
    <s v="ORD0135"/>
    <x v="3"/>
    <x v="1"/>
    <x v="2"/>
    <n v="38026.54"/>
    <n v="6523.75"/>
    <n v="1187"/>
  </r>
  <r>
    <s v="2024-11-02"/>
    <s v="ORD0136"/>
    <x v="3"/>
    <x v="0"/>
    <x v="6"/>
    <n v="17391.71"/>
    <n v="3749.45"/>
    <n v="403"/>
  </r>
  <r>
    <s v="2024-06-20"/>
    <s v="ORD0137"/>
    <x v="2"/>
    <x v="1"/>
    <x v="2"/>
    <n v="2279.9699999999998"/>
    <n v="381.24"/>
    <n v="1874"/>
  </r>
  <r>
    <s v="2024-12-01"/>
    <s v="ORD0138"/>
    <x v="3"/>
    <x v="3"/>
    <x v="9"/>
    <n v="30907.88"/>
    <n v="5928.92"/>
    <n v="542"/>
  </r>
  <r>
    <s v="2024-11-08"/>
    <s v="ORD0139"/>
    <x v="0"/>
    <x v="2"/>
    <x v="12"/>
    <n v="36088.800000000003"/>
    <n v="8497.83"/>
    <n v="631"/>
  </r>
  <r>
    <s v="2024-10-25"/>
    <s v="ORD0140"/>
    <x v="1"/>
    <x v="3"/>
    <x v="9"/>
    <n v="25696.91"/>
    <n v="4571.2700000000004"/>
    <n v="245"/>
  </r>
  <r>
    <s v="2024-01-04"/>
    <s v="ORD0141"/>
    <x v="0"/>
    <x v="3"/>
    <x v="8"/>
    <n v="5047.22"/>
    <n v="809.2"/>
    <n v="746"/>
  </r>
  <r>
    <s v="2024-03-29"/>
    <s v="ORD0142"/>
    <x v="0"/>
    <x v="0"/>
    <x v="0"/>
    <n v="6130.26"/>
    <n v="770.79"/>
    <n v="540"/>
  </r>
  <r>
    <s v="2024-11-16"/>
    <s v="ORD0143"/>
    <x v="3"/>
    <x v="0"/>
    <x v="1"/>
    <n v="9479.1"/>
    <n v="1488.9"/>
    <n v="1819"/>
  </r>
  <r>
    <s v="2024-05-04"/>
    <s v="ORD0144"/>
    <x v="1"/>
    <x v="1"/>
    <x v="11"/>
    <n v="2952.69"/>
    <n v="319.54000000000002"/>
    <n v="1558"/>
  </r>
  <r>
    <s v="2024-02-04"/>
    <s v="ORD0145"/>
    <x v="3"/>
    <x v="2"/>
    <x v="5"/>
    <n v="12840.43"/>
    <n v="2513.38"/>
    <n v="174"/>
  </r>
  <r>
    <s v="2024-12-31"/>
    <s v="ORD0146"/>
    <x v="1"/>
    <x v="1"/>
    <x v="2"/>
    <n v="2565.9299999999998"/>
    <n v="226.27"/>
    <n v="1266"/>
  </r>
  <r>
    <s v="2024-07-21"/>
    <s v="ORD0147"/>
    <x v="0"/>
    <x v="3"/>
    <x v="15"/>
    <n v="41395.589999999997"/>
    <n v="7717.39"/>
    <n v="1123"/>
  </r>
  <r>
    <s v="2024-06-15"/>
    <s v="ORD0148"/>
    <x v="0"/>
    <x v="1"/>
    <x v="4"/>
    <n v="28478.69"/>
    <n v="6153.26"/>
    <n v="1508"/>
  </r>
  <r>
    <s v="2024-01-10"/>
    <s v="ORD0149"/>
    <x v="3"/>
    <x v="3"/>
    <x v="7"/>
    <n v="15130.58"/>
    <n v="1312.43"/>
    <n v="1696"/>
  </r>
  <r>
    <s v="2024-09-13"/>
    <s v="ORD0150"/>
    <x v="3"/>
    <x v="2"/>
    <x v="10"/>
    <n v="47759.06"/>
    <n v="10514.14"/>
    <n v="1017"/>
  </r>
  <r>
    <s v="2024-04-11"/>
    <s v="ORD0151"/>
    <x v="0"/>
    <x v="1"/>
    <x v="11"/>
    <n v="27462.97"/>
    <n v="6354.74"/>
    <n v="642"/>
  </r>
  <r>
    <s v="2024-09-25"/>
    <s v="ORD0152"/>
    <x v="0"/>
    <x v="0"/>
    <x v="0"/>
    <n v="44764.61"/>
    <n v="6999.4"/>
    <n v="395"/>
  </r>
  <r>
    <s v="2024-08-17"/>
    <s v="ORD0153"/>
    <x v="3"/>
    <x v="3"/>
    <x v="9"/>
    <n v="33853.71"/>
    <n v="4851.8599999999997"/>
    <n v="1312"/>
  </r>
  <r>
    <s v="2024-10-20"/>
    <s v="ORD0154"/>
    <x v="0"/>
    <x v="2"/>
    <x v="10"/>
    <n v="9255.5"/>
    <n v="2130.11"/>
    <n v="1063"/>
  </r>
  <r>
    <s v="2024-12-20"/>
    <s v="ORD0155"/>
    <x v="1"/>
    <x v="1"/>
    <x v="4"/>
    <n v="43013.31"/>
    <n v="3995.01"/>
    <n v="1110"/>
  </r>
  <r>
    <s v="2024-10-15"/>
    <s v="ORD0156"/>
    <x v="0"/>
    <x v="0"/>
    <x v="6"/>
    <n v="21048.34"/>
    <n v="2084.37"/>
    <n v="1414"/>
  </r>
  <r>
    <s v="2024-11-14"/>
    <s v="ORD0157"/>
    <x v="2"/>
    <x v="1"/>
    <x v="4"/>
    <n v="34719.85"/>
    <n v="6260.15"/>
    <n v="447"/>
  </r>
  <r>
    <s v="2024-08-21"/>
    <s v="ORD0158"/>
    <x v="1"/>
    <x v="0"/>
    <x v="3"/>
    <n v="11355.86"/>
    <n v="2785.04"/>
    <n v="211"/>
  </r>
  <r>
    <s v="2024-01-01"/>
    <s v="ORD0159"/>
    <x v="2"/>
    <x v="3"/>
    <x v="15"/>
    <n v="28559.78"/>
    <n v="6283.91"/>
    <n v="1748"/>
  </r>
  <r>
    <s v="2024-01-03"/>
    <s v="ORD0160"/>
    <x v="1"/>
    <x v="2"/>
    <x v="5"/>
    <n v="45146.86"/>
    <n v="4335.41"/>
    <n v="1221"/>
  </r>
  <r>
    <s v="2024-08-20"/>
    <s v="ORD0161"/>
    <x v="1"/>
    <x v="3"/>
    <x v="15"/>
    <n v="22725.61"/>
    <n v="1410.34"/>
    <n v="1538"/>
  </r>
  <r>
    <s v="2024-07-13"/>
    <s v="ORD0162"/>
    <x v="2"/>
    <x v="2"/>
    <x v="13"/>
    <n v="33098.949999999997"/>
    <n v="4518.6000000000004"/>
    <n v="424"/>
  </r>
  <r>
    <s v="2024-08-23"/>
    <s v="ORD0163"/>
    <x v="2"/>
    <x v="3"/>
    <x v="7"/>
    <n v="19583.3"/>
    <n v="4883.43"/>
    <n v="1551"/>
  </r>
  <r>
    <s v="2024-11-14"/>
    <s v="ORD0164"/>
    <x v="0"/>
    <x v="1"/>
    <x v="4"/>
    <n v="12233.78"/>
    <n v="2818.33"/>
    <n v="1489"/>
  </r>
  <r>
    <s v="2024-05-17"/>
    <s v="ORD0165"/>
    <x v="0"/>
    <x v="1"/>
    <x v="11"/>
    <n v="23407.919999999998"/>
    <n v="5466.64"/>
    <n v="483"/>
  </r>
  <r>
    <s v="2024-02-26"/>
    <s v="ORD0166"/>
    <x v="0"/>
    <x v="0"/>
    <x v="1"/>
    <n v="44577.25"/>
    <n v="7444.44"/>
    <n v="1873"/>
  </r>
  <r>
    <s v="2024-12-09"/>
    <s v="ORD0167"/>
    <x v="1"/>
    <x v="1"/>
    <x v="14"/>
    <n v="25141.06"/>
    <n v="2974.82"/>
    <n v="582"/>
  </r>
  <r>
    <s v="2024-09-09"/>
    <s v="ORD0168"/>
    <x v="3"/>
    <x v="2"/>
    <x v="10"/>
    <n v="29522.45"/>
    <n v="3581.23"/>
    <n v="887"/>
  </r>
  <r>
    <s v="2024-12-04"/>
    <s v="ORD0169"/>
    <x v="3"/>
    <x v="2"/>
    <x v="13"/>
    <n v="18601.95"/>
    <n v="1200.07"/>
    <n v="1514"/>
  </r>
  <r>
    <s v="2024-11-09"/>
    <s v="ORD0170"/>
    <x v="2"/>
    <x v="2"/>
    <x v="12"/>
    <n v="20664.68"/>
    <n v="4083.54"/>
    <n v="1026"/>
  </r>
  <r>
    <s v="2024-12-12"/>
    <s v="ORD0171"/>
    <x v="2"/>
    <x v="2"/>
    <x v="5"/>
    <n v="2586.92"/>
    <n v="290.06"/>
    <n v="1622"/>
  </r>
  <r>
    <s v="2024-04-21"/>
    <s v="ORD0172"/>
    <x v="3"/>
    <x v="3"/>
    <x v="7"/>
    <n v="40787.46"/>
    <n v="6368.08"/>
    <n v="1639"/>
  </r>
  <r>
    <s v="2024-02-20"/>
    <s v="ORD0173"/>
    <x v="3"/>
    <x v="0"/>
    <x v="0"/>
    <n v="45255.13"/>
    <n v="2733.77"/>
    <n v="1874"/>
  </r>
  <r>
    <s v="2024-02-16"/>
    <s v="ORD0174"/>
    <x v="0"/>
    <x v="2"/>
    <x v="5"/>
    <n v="4547.95"/>
    <n v="890.87"/>
    <n v="1639"/>
  </r>
  <r>
    <s v="2024-07-06"/>
    <s v="ORD0175"/>
    <x v="2"/>
    <x v="3"/>
    <x v="15"/>
    <n v="48442.61"/>
    <n v="9381.74"/>
    <n v="203"/>
  </r>
  <r>
    <s v="2024-08-08"/>
    <s v="ORD0176"/>
    <x v="1"/>
    <x v="3"/>
    <x v="15"/>
    <n v="49887.47"/>
    <n v="7808.32"/>
    <n v="506"/>
  </r>
  <r>
    <s v="2024-06-27"/>
    <s v="ORD0177"/>
    <x v="1"/>
    <x v="0"/>
    <x v="1"/>
    <n v="45090.46"/>
    <n v="6715.93"/>
    <n v="1637"/>
  </r>
  <r>
    <s v="2024-09-28"/>
    <s v="ORD0178"/>
    <x v="0"/>
    <x v="3"/>
    <x v="7"/>
    <n v="6098.74"/>
    <n v="495.84"/>
    <n v="1935"/>
  </r>
  <r>
    <s v="2024-01-20"/>
    <s v="ORD0179"/>
    <x v="3"/>
    <x v="2"/>
    <x v="10"/>
    <n v="6424.5"/>
    <n v="1343.89"/>
    <n v="1609"/>
  </r>
  <r>
    <s v="2024-01-19"/>
    <s v="ORD0180"/>
    <x v="1"/>
    <x v="2"/>
    <x v="10"/>
    <n v="49685.65"/>
    <n v="6937.95"/>
    <n v="805"/>
  </r>
  <r>
    <s v="2024-10-25"/>
    <s v="ORD0181"/>
    <x v="1"/>
    <x v="2"/>
    <x v="13"/>
    <n v="48888.6"/>
    <n v="2760.32"/>
    <n v="1093"/>
  </r>
  <r>
    <s v="2024-04-07"/>
    <s v="ORD0182"/>
    <x v="3"/>
    <x v="1"/>
    <x v="2"/>
    <n v="5148.7299999999996"/>
    <n v="338.95"/>
    <n v="229"/>
  </r>
  <r>
    <s v="2024-06-12"/>
    <s v="ORD0183"/>
    <x v="2"/>
    <x v="3"/>
    <x v="15"/>
    <n v="17993.97"/>
    <n v="1554.42"/>
    <n v="1206"/>
  </r>
  <r>
    <s v="2024-11-28"/>
    <s v="ORD0184"/>
    <x v="2"/>
    <x v="0"/>
    <x v="0"/>
    <n v="42125.67"/>
    <n v="5089.6400000000003"/>
    <n v="409"/>
  </r>
  <r>
    <s v="2024-06-04"/>
    <s v="ORD0185"/>
    <x v="1"/>
    <x v="2"/>
    <x v="10"/>
    <n v="47914.239999999998"/>
    <n v="10266.39"/>
    <n v="1047"/>
  </r>
  <r>
    <s v="2024-09-25"/>
    <s v="ORD0186"/>
    <x v="1"/>
    <x v="0"/>
    <x v="6"/>
    <n v="29909.74"/>
    <n v="6060.8"/>
    <n v="1110"/>
  </r>
  <r>
    <s v="2024-04-19"/>
    <s v="ORD0187"/>
    <x v="0"/>
    <x v="3"/>
    <x v="8"/>
    <n v="1171.48"/>
    <n v="292.19"/>
    <n v="1581"/>
  </r>
  <r>
    <s v="2024-07-03"/>
    <s v="ORD0188"/>
    <x v="1"/>
    <x v="1"/>
    <x v="4"/>
    <n v="23867.439999999999"/>
    <n v="2340.4499999999998"/>
    <n v="1051"/>
  </r>
  <r>
    <s v="2024-09-12"/>
    <s v="ORD0189"/>
    <x v="3"/>
    <x v="0"/>
    <x v="1"/>
    <n v="27359.46"/>
    <n v="5541.17"/>
    <n v="512"/>
  </r>
  <r>
    <s v="2024-01-05"/>
    <s v="ORD0190"/>
    <x v="1"/>
    <x v="3"/>
    <x v="7"/>
    <n v="7695.15"/>
    <n v="405.9"/>
    <n v="1311"/>
  </r>
  <r>
    <s v="2024-01-18"/>
    <s v="ORD0191"/>
    <x v="0"/>
    <x v="1"/>
    <x v="14"/>
    <n v="47983.17"/>
    <n v="4170.13"/>
    <n v="562"/>
  </r>
  <r>
    <s v="2024-04-03"/>
    <s v="ORD0192"/>
    <x v="0"/>
    <x v="1"/>
    <x v="14"/>
    <n v="28035.08"/>
    <n v="5148.08"/>
    <n v="888"/>
  </r>
  <r>
    <s v="2024-05-06"/>
    <s v="ORD0193"/>
    <x v="1"/>
    <x v="2"/>
    <x v="13"/>
    <n v="23929.37"/>
    <n v="4135.07"/>
    <n v="117"/>
  </r>
  <r>
    <s v="2024-12-04"/>
    <s v="ORD0194"/>
    <x v="0"/>
    <x v="3"/>
    <x v="8"/>
    <n v="22558.7"/>
    <n v="1781.85"/>
    <n v="1261"/>
  </r>
  <r>
    <s v="2024-05-01"/>
    <s v="ORD0195"/>
    <x v="2"/>
    <x v="3"/>
    <x v="15"/>
    <n v="26243.11"/>
    <n v="3487.1"/>
    <n v="1385"/>
  </r>
  <r>
    <s v="2024-07-02"/>
    <s v="ORD0196"/>
    <x v="1"/>
    <x v="0"/>
    <x v="6"/>
    <n v="10807.7"/>
    <n v="1140.01"/>
    <n v="960"/>
  </r>
  <r>
    <s v="2024-08-30"/>
    <s v="ORD0197"/>
    <x v="2"/>
    <x v="1"/>
    <x v="11"/>
    <n v="25748.43"/>
    <n v="1585.78"/>
    <n v="1963"/>
  </r>
  <r>
    <s v="2024-06-21"/>
    <s v="ORD0198"/>
    <x v="0"/>
    <x v="1"/>
    <x v="4"/>
    <n v="17182.93"/>
    <n v="2299.69"/>
    <n v="1247"/>
  </r>
  <r>
    <s v="2024-11-28"/>
    <s v="ORD0199"/>
    <x v="0"/>
    <x v="0"/>
    <x v="6"/>
    <n v="25929.74"/>
    <n v="2833.52"/>
    <n v="221"/>
  </r>
  <r>
    <s v="2024-03-13"/>
    <s v="ORD0200"/>
    <x v="3"/>
    <x v="3"/>
    <x v="9"/>
    <n v="38727.56"/>
    <n v="3596.68"/>
    <n v="1613"/>
  </r>
  <r>
    <s v="2024-03-09"/>
    <s v="ORD0201"/>
    <x v="0"/>
    <x v="2"/>
    <x v="13"/>
    <n v="30644.35"/>
    <n v="6179.51"/>
    <n v="1973"/>
  </r>
  <r>
    <s v="2024-08-13"/>
    <s v="ORD0202"/>
    <x v="0"/>
    <x v="0"/>
    <x v="1"/>
    <n v="42938.28"/>
    <n v="8154.94"/>
    <n v="1580"/>
  </r>
  <r>
    <s v="2024-06-22"/>
    <s v="ORD0203"/>
    <x v="2"/>
    <x v="2"/>
    <x v="12"/>
    <n v="13783.21"/>
    <n v="3085.41"/>
    <n v="210"/>
  </r>
  <r>
    <s v="2024-06-29"/>
    <s v="ORD0204"/>
    <x v="2"/>
    <x v="1"/>
    <x v="11"/>
    <n v="45113.26"/>
    <n v="3954.3"/>
    <n v="977"/>
  </r>
  <r>
    <s v="2024-12-09"/>
    <s v="ORD0205"/>
    <x v="3"/>
    <x v="3"/>
    <x v="7"/>
    <n v="21762.31"/>
    <n v="1695.37"/>
    <n v="539"/>
  </r>
  <r>
    <s v="2024-04-30"/>
    <s v="ORD0206"/>
    <x v="0"/>
    <x v="0"/>
    <x v="3"/>
    <n v="26516.400000000001"/>
    <n v="2872.75"/>
    <n v="426"/>
  </r>
  <r>
    <s v="2024-08-25"/>
    <s v="ORD0207"/>
    <x v="0"/>
    <x v="1"/>
    <x v="11"/>
    <n v="2881.95"/>
    <n v="424.8"/>
    <n v="1080"/>
  </r>
  <r>
    <s v="2024-02-09"/>
    <s v="ORD0208"/>
    <x v="2"/>
    <x v="1"/>
    <x v="14"/>
    <n v="26620.5"/>
    <n v="6099.59"/>
    <n v="985"/>
  </r>
  <r>
    <s v="2024-11-26"/>
    <s v="ORD0209"/>
    <x v="2"/>
    <x v="0"/>
    <x v="1"/>
    <n v="7441.75"/>
    <n v="1651.59"/>
    <n v="496"/>
  </r>
  <r>
    <s v="2024-04-01"/>
    <s v="ORD0210"/>
    <x v="3"/>
    <x v="2"/>
    <x v="10"/>
    <n v="41940.93"/>
    <n v="8628.09"/>
    <n v="1813"/>
  </r>
  <r>
    <s v="2024-10-25"/>
    <s v="ORD0211"/>
    <x v="2"/>
    <x v="1"/>
    <x v="11"/>
    <n v="19170.52"/>
    <n v="3638.76"/>
    <n v="1685"/>
  </r>
  <r>
    <s v="2024-06-19"/>
    <s v="ORD0212"/>
    <x v="3"/>
    <x v="1"/>
    <x v="11"/>
    <n v="3922.37"/>
    <n v="782.65"/>
    <n v="1770"/>
  </r>
  <r>
    <s v="2024-06-26"/>
    <s v="ORD0213"/>
    <x v="0"/>
    <x v="1"/>
    <x v="2"/>
    <n v="11915.4"/>
    <n v="1431.28"/>
    <n v="1202"/>
  </r>
  <r>
    <s v="2024-01-13"/>
    <s v="ORD0214"/>
    <x v="2"/>
    <x v="2"/>
    <x v="13"/>
    <n v="10562.17"/>
    <n v="2467.2199999999998"/>
    <n v="1286"/>
  </r>
  <r>
    <s v="2024-06-10"/>
    <s v="ORD0215"/>
    <x v="2"/>
    <x v="1"/>
    <x v="14"/>
    <n v="46930.93"/>
    <n v="7960.22"/>
    <n v="814"/>
  </r>
  <r>
    <s v="2024-03-25"/>
    <s v="ORD0216"/>
    <x v="3"/>
    <x v="1"/>
    <x v="11"/>
    <n v="18326.62"/>
    <n v="1224.08"/>
    <n v="47"/>
  </r>
  <r>
    <s v="2024-07-01"/>
    <s v="ORD0217"/>
    <x v="1"/>
    <x v="0"/>
    <x v="0"/>
    <n v="33681.57"/>
    <n v="7583.62"/>
    <n v="1060"/>
  </r>
  <r>
    <s v="2024-04-22"/>
    <s v="ORD0218"/>
    <x v="0"/>
    <x v="1"/>
    <x v="4"/>
    <n v="10955.62"/>
    <n v="2441.16"/>
    <n v="1120"/>
  </r>
  <r>
    <s v="2024-05-26"/>
    <s v="ORD0219"/>
    <x v="2"/>
    <x v="0"/>
    <x v="1"/>
    <n v="33399.51"/>
    <n v="4374.54"/>
    <n v="140"/>
  </r>
  <r>
    <s v="2024-09-11"/>
    <s v="ORD0220"/>
    <x v="0"/>
    <x v="0"/>
    <x v="6"/>
    <n v="6034.79"/>
    <n v="1171.42"/>
    <n v="424"/>
  </r>
  <r>
    <s v="2024-10-29"/>
    <s v="ORD0221"/>
    <x v="1"/>
    <x v="2"/>
    <x v="13"/>
    <n v="33044.22"/>
    <n v="8087.79"/>
    <n v="724"/>
  </r>
  <r>
    <s v="2024-07-31"/>
    <s v="ORD0222"/>
    <x v="2"/>
    <x v="0"/>
    <x v="1"/>
    <n v="14251.71"/>
    <n v="1657.59"/>
    <n v="171"/>
  </r>
  <r>
    <s v="2024-07-23"/>
    <s v="ORD0223"/>
    <x v="3"/>
    <x v="1"/>
    <x v="4"/>
    <n v="3194.16"/>
    <n v="622.15"/>
    <n v="479"/>
  </r>
  <r>
    <s v="2024-11-01"/>
    <s v="ORD0224"/>
    <x v="3"/>
    <x v="3"/>
    <x v="8"/>
    <n v="37183.74"/>
    <n v="4738.53"/>
    <n v="1983"/>
  </r>
  <r>
    <s v="2024-04-25"/>
    <s v="ORD0225"/>
    <x v="3"/>
    <x v="0"/>
    <x v="1"/>
    <n v="12839.51"/>
    <n v="2699.33"/>
    <n v="1460"/>
  </r>
  <r>
    <s v="2024-01-05"/>
    <s v="ORD0226"/>
    <x v="1"/>
    <x v="1"/>
    <x v="14"/>
    <n v="27248.1"/>
    <n v="6116.6"/>
    <n v="776"/>
  </r>
  <r>
    <s v="2024-12-24"/>
    <s v="ORD0227"/>
    <x v="0"/>
    <x v="2"/>
    <x v="10"/>
    <n v="6371.58"/>
    <n v="358.74"/>
    <n v="349"/>
  </r>
  <r>
    <s v="2024-03-22"/>
    <s v="ORD0228"/>
    <x v="3"/>
    <x v="2"/>
    <x v="5"/>
    <n v="22966.57"/>
    <n v="3620.83"/>
    <n v="1721"/>
  </r>
  <r>
    <s v="2024-04-24"/>
    <s v="ORD0229"/>
    <x v="1"/>
    <x v="3"/>
    <x v="15"/>
    <n v="34703.33"/>
    <n v="4543.97"/>
    <n v="1555"/>
  </r>
  <r>
    <s v="2024-11-25"/>
    <s v="ORD0230"/>
    <x v="3"/>
    <x v="0"/>
    <x v="3"/>
    <n v="34675.68"/>
    <n v="3459.96"/>
    <n v="777"/>
  </r>
  <r>
    <s v="2024-08-07"/>
    <s v="ORD0231"/>
    <x v="0"/>
    <x v="3"/>
    <x v="7"/>
    <n v="31829.48"/>
    <n v="6984.96"/>
    <n v="807"/>
  </r>
  <r>
    <s v="2024-12-03"/>
    <s v="ORD0232"/>
    <x v="0"/>
    <x v="2"/>
    <x v="10"/>
    <n v="10266.6"/>
    <n v="590.15"/>
    <n v="868"/>
  </r>
  <r>
    <s v="2024-06-29"/>
    <s v="ORD0233"/>
    <x v="3"/>
    <x v="3"/>
    <x v="15"/>
    <n v="19062.86"/>
    <n v="3665.11"/>
    <n v="1802"/>
  </r>
  <r>
    <s v="2024-06-24"/>
    <s v="ORD0234"/>
    <x v="0"/>
    <x v="1"/>
    <x v="11"/>
    <n v="40235.919999999998"/>
    <n v="8922.5"/>
    <n v="406"/>
  </r>
  <r>
    <s v="2024-05-18"/>
    <s v="ORD0235"/>
    <x v="2"/>
    <x v="2"/>
    <x v="12"/>
    <n v="15241.67"/>
    <n v="1512.64"/>
    <n v="1541"/>
  </r>
  <r>
    <s v="2024-05-31"/>
    <s v="ORD0236"/>
    <x v="3"/>
    <x v="1"/>
    <x v="11"/>
    <n v="37942.449999999997"/>
    <n v="9024.7900000000009"/>
    <n v="1658"/>
  </r>
  <r>
    <s v="2024-09-14"/>
    <s v="ORD0237"/>
    <x v="0"/>
    <x v="0"/>
    <x v="3"/>
    <n v="27326.01"/>
    <n v="3934.43"/>
    <n v="1591"/>
  </r>
  <r>
    <s v="2024-08-01"/>
    <s v="ORD0238"/>
    <x v="2"/>
    <x v="1"/>
    <x v="11"/>
    <n v="14164.75"/>
    <n v="1758.85"/>
    <n v="1546"/>
  </r>
  <r>
    <s v="2024-08-31"/>
    <s v="ORD0239"/>
    <x v="0"/>
    <x v="1"/>
    <x v="11"/>
    <n v="49698.1"/>
    <n v="12172.48"/>
    <n v="535"/>
  </r>
  <r>
    <s v="2024-09-19"/>
    <s v="ORD0240"/>
    <x v="2"/>
    <x v="0"/>
    <x v="1"/>
    <n v="1237.0899999999999"/>
    <n v="118.5"/>
    <n v="1527"/>
  </r>
  <r>
    <s v="2024-01-11"/>
    <s v="ORD0241"/>
    <x v="3"/>
    <x v="2"/>
    <x v="5"/>
    <n v="6348.35"/>
    <n v="1360.55"/>
    <n v="1422"/>
  </r>
  <r>
    <s v="2024-06-12"/>
    <s v="ORD0242"/>
    <x v="1"/>
    <x v="0"/>
    <x v="3"/>
    <n v="16262"/>
    <n v="837.39"/>
    <n v="634"/>
  </r>
  <r>
    <s v="2024-01-08"/>
    <s v="ORD0243"/>
    <x v="2"/>
    <x v="0"/>
    <x v="3"/>
    <n v="48569.05"/>
    <n v="10874.19"/>
    <n v="930"/>
  </r>
  <r>
    <s v="2024-02-03"/>
    <s v="ORD0244"/>
    <x v="1"/>
    <x v="3"/>
    <x v="7"/>
    <n v="5556.73"/>
    <n v="1059.1600000000001"/>
    <n v="1474"/>
  </r>
  <r>
    <s v="2024-01-07"/>
    <s v="ORD0245"/>
    <x v="0"/>
    <x v="2"/>
    <x v="12"/>
    <n v="4839.58"/>
    <n v="899.83"/>
    <n v="1694"/>
  </r>
  <r>
    <s v="2024-03-16"/>
    <s v="ORD0246"/>
    <x v="2"/>
    <x v="1"/>
    <x v="11"/>
    <n v="46220.69"/>
    <n v="10749.05"/>
    <n v="820"/>
  </r>
  <r>
    <s v="2024-08-15"/>
    <s v="ORD0247"/>
    <x v="1"/>
    <x v="1"/>
    <x v="11"/>
    <n v="24432.43"/>
    <n v="2936.31"/>
    <n v="504"/>
  </r>
  <r>
    <s v="2024-04-14"/>
    <s v="ORD0248"/>
    <x v="1"/>
    <x v="3"/>
    <x v="7"/>
    <n v="37903.910000000003"/>
    <n v="6837.36"/>
    <n v="1930"/>
  </r>
  <r>
    <s v="2024-11-28"/>
    <s v="ORD0249"/>
    <x v="2"/>
    <x v="2"/>
    <x v="10"/>
    <n v="17432.05"/>
    <n v="1392.44"/>
    <n v="674"/>
  </r>
  <r>
    <s v="2024-01-02"/>
    <s v="ORD0250"/>
    <x v="2"/>
    <x v="2"/>
    <x v="12"/>
    <n v="21496.33"/>
    <n v="3486.76"/>
    <n v="684"/>
  </r>
  <r>
    <s v="2024-05-09"/>
    <s v="ORD0251"/>
    <x v="1"/>
    <x v="3"/>
    <x v="7"/>
    <n v="7194.22"/>
    <n v="1716.04"/>
    <n v="726"/>
  </r>
  <r>
    <s v="2024-10-01"/>
    <s v="ORD0252"/>
    <x v="3"/>
    <x v="0"/>
    <x v="1"/>
    <n v="35564"/>
    <n v="5915.87"/>
    <n v="1993"/>
  </r>
  <r>
    <s v="2024-07-21"/>
    <s v="ORD0253"/>
    <x v="0"/>
    <x v="0"/>
    <x v="6"/>
    <n v="31588.720000000001"/>
    <n v="6553.34"/>
    <n v="1648"/>
  </r>
  <r>
    <s v="2024-11-23"/>
    <s v="ORD0254"/>
    <x v="2"/>
    <x v="2"/>
    <x v="13"/>
    <n v="5165.75"/>
    <n v="1064.5899999999999"/>
    <n v="1728"/>
  </r>
  <r>
    <s v="2024-10-23"/>
    <s v="ORD0255"/>
    <x v="2"/>
    <x v="2"/>
    <x v="10"/>
    <n v="25853.4"/>
    <n v="5435.44"/>
    <n v="446"/>
  </r>
  <r>
    <s v="2024-09-22"/>
    <s v="ORD0256"/>
    <x v="0"/>
    <x v="3"/>
    <x v="9"/>
    <n v="33567.81"/>
    <n v="8090.2"/>
    <n v="1875"/>
  </r>
  <r>
    <s v="2024-02-18"/>
    <s v="ORD0257"/>
    <x v="0"/>
    <x v="1"/>
    <x v="2"/>
    <n v="7257.8"/>
    <n v="971.84"/>
    <n v="793"/>
  </r>
  <r>
    <s v="2024-04-30"/>
    <s v="ORD0258"/>
    <x v="3"/>
    <x v="2"/>
    <x v="12"/>
    <n v="38846.99"/>
    <n v="9229.69"/>
    <n v="1724"/>
  </r>
  <r>
    <s v="2024-05-28"/>
    <s v="ORD0259"/>
    <x v="0"/>
    <x v="1"/>
    <x v="11"/>
    <n v="15906.02"/>
    <n v="2739.19"/>
    <n v="1100"/>
  </r>
  <r>
    <s v="2024-04-16"/>
    <s v="ORD0260"/>
    <x v="3"/>
    <x v="3"/>
    <x v="15"/>
    <n v="33279.06"/>
    <n v="2505.77"/>
    <n v="1524"/>
  </r>
  <r>
    <s v="2024-01-22"/>
    <s v="ORD0261"/>
    <x v="3"/>
    <x v="0"/>
    <x v="1"/>
    <n v="16404.009999999998"/>
    <n v="2889.06"/>
    <n v="1863"/>
  </r>
  <r>
    <s v="2024-01-19"/>
    <s v="ORD0262"/>
    <x v="3"/>
    <x v="2"/>
    <x v="12"/>
    <n v="34366.379999999997"/>
    <n v="5763.82"/>
    <n v="1128"/>
  </r>
  <r>
    <s v="2024-02-19"/>
    <s v="ORD0263"/>
    <x v="3"/>
    <x v="1"/>
    <x v="14"/>
    <n v="22463.08"/>
    <n v="5101.93"/>
    <n v="195"/>
  </r>
  <r>
    <s v="2024-12-28"/>
    <s v="ORD0264"/>
    <x v="1"/>
    <x v="0"/>
    <x v="1"/>
    <n v="35245.35"/>
    <n v="5954.46"/>
    <n v="314"/>
  </r>
  <r>
    <s v="2024-02-19"/>
    <s v="ORD0265"/>
    <x v="2"/>
    <x v="0"/>
    <x v="3"/>
    <n v="23040.98"/>
    <n v="3860.83"/>
    <n v="1745"/>
  </r>
  <r>
    <s v="2024-06-02"/>
    <s v="ORD0266"/>
    <x v="1"/>
    <x v="3"/>
    <x v="7"/>
    <n v="902.62"/>
    <n v="102.34"/>
    <n v="1576"/>
  </r>
  <r>
    <s v="2024-12-20"/>
    <s v="ORD0267"/>
    <x v="3"/>
    <x v="2"/>
    <x v="13"/>
    <n v="8699.8700000000008"/>
    <n v="1614.31"/>
    <n v="957"/>
  </r>
  <r>
    <s v="2024-06-28"/>
    <s v="ORD0268"/>
    <x v="3"/>
    <x v="0"/>
    <x v="0"/>
    <n v="19272.509999999998"/>
    <n v="3527.9"/>
    <n v="926"/>
  </r>
  <r>
    <s v="2024-09-21"/>
    <s v="ORD0269"/>
    <x v="1"/>
    <x v="2"/>
    <x v="10"/>
    <n v="19860.66"/>
    <n v="2689.76"/>
    <n v="415"/>
  </r>
  <r>
    <s v="2024-08-25"/>
    <s v="ORD0270"/>
    <x v="1"/>
    <x v="2"/>
    <x v="12"/>
    <n v="41978.26"/>
    <n v="6498.19"/>
    <n v="481"/>
  </r>
  <r>
    <s v="2024-12-12"/>
    <s v="ORD0271"/>
    <x v="0"/>
    <x v="3"/>
    <x v="7"/>
    <n v="9503.2999999999993"/>
    <n v="1072.18"/>
    <n v="113"/>
  </r>
  <r>
    <s v="2024-12-24"/>
    <s v="ORD0272"/>
    <x v="3"/>
    <x v="3"/>
    <x v="15"/>
    <n v="9350.9500000000007"/>
    <n v="1559.84"/>
    <n v="1488"/>
  </r>
  <r>
    <s v="2024-02-12"/>
    <s v="ORD0273"/>
    <x v="3"/>
    <x v="1"/>
    <x v="2"/>
    <n v="25076.11"/>
    <n v="2606.15"/>
    <n v="576"/>
  </r>
  <r>
    <s v="2024-07-26"/>
    <s v="ORD0274"/>
    <x v="3"/>
    <x v="0"/>
    <x v="1"/>
    <n v="37858.92"/>
    <n v="8863.36"/>
    <n v="1516"/>
  </r>
  <r>
    <s v="2024-03-05"/>
    <s v="ORD0275"/>
    <x v="3"/>
    <x v="1"/>
    <x v="11"/>
    <n v="7026.53"/>
    <n v="1611.3"/>
    <n v="85"/>
  </r>
  <r>
    <s v="2024-10-29"/>
    <s v="ORD0276"/>
    <x v="3"/>
    <x v="0"/>
    <x v="1"/>
    <n v="9294.91"/>
    <n v="847.29"/>
    <n v="1737"/>
  </r>
  <r>
    <s v="2024-08-27"/>
    <s v="ORD0277"/>
    <x v="2"/>
    <x v="3"/>
    <x v="9"/>
    <n v="24600.97"/>
    <n v="5394.43"/>
    <n v="1327"/>
  </r>
  <r>
    <s v="2024-10-18"/>
    <s v="ORD0278"/>
    <x v="3"/>
    <x v="3"/>
    <x v="9"/>
    <n v="17117.57"/>
    <n v="2960.01"/>
    <n v="1338"/>
  </r>
  <r>
    <s v="2024-02-01"/>
    <s v="ORD0279"/>
    <x v="0"/>
    <x v="0"/>
    <x v="3"/>
    <n v="16490.900000000001"/>
    <n v="2172.87"/>
    <n v="1981"/>
  </r>
  <r>
    <s v="2024-12-13"/>
    <s v="ORD0280"/>
    <x v="0"/>
    <x v="2"/>
    <x v="5"/>
    <n v="38462.949999999997"/>
    <n v="2721.72"/>
    <n v="1130"/>
  </r>
  <r>
    <s v="2024-11-14"/>
    <s v="ORD0281"/>
    <x v="0"/>
    <x v="3"/>
    <x v="15"/>
    <n v="16169.91"/>
    <n v="1234.76"/>
    <n v="381"/>
  </r>
  <r>
    <s v="2024-03-03"/>
    <s v="ORD0282"/>
    <x v="1"/>
    <x v="1"/>
    <x v="11"/>
    <n v="45294.43"/>
    <n v="3601.04"/>
    <n v="1790"/>
  </r>
  <r>
    <s v="2024-04-24"/>
    <s v="ORD0283"/>
    <x v="0"/>
    <x v="0"/>
    <x v="0"/>
    <n v="33775.629999999997"/>
    <n v="6863.44"/>
    <n v="1779"/>
  </r>
  <r>
    <s v="2024-05-22"/>
    <s v="ORD0284"/>
    <x v="3"/>
    <x v="0"/>
    <x v="0"/>
    <n v="9892.14"/>
    <n v="1573.82"/>
    <n v="242"/>
  </r>
  <r>
    <s v="2024-10-16"/>
    <s v="ORD0285"/>
    <x v="1"/>
    <x v="2"/>
    <x v="10"/>
    <n v="25674.34"/>
    <n v="3897.85"/>
    <n v="81"/>
  </r>
  <r>
    <s v="2024-05-05"/>
    <s v="ORD0286"/>
    <x v="0"/>
    <x v="2"/>
    <x v="13"/>
    <n v="23330.21"/>
    <n v="4613.57"/>
    <n v="1524"/>
  </r>
  <r>
    <s v="2024-07-02"/>
    <s v="ORD0287"/>
    <x v="3"/>
    <x v="0"/>
    <x v="6"/>
    <n v="7335.56"/>
    <n v="771.99"/>
    <n v="282"/>
  </r>
  <r>
    <s v="2024-10-02"/>
    <s v="ORD0288"/>
    <x v="0"/>
    <x v="3"/>
    <x v="9"/>
    <n v="49780.49"/>
    <n v="9041.9500000000007"/>
    <n v="984"/>
  </r>
  <r>
    <s v="2024-06-30"/>
    <s v="ORD0289"/>
    <x v="2"/>
    <x v="2"/>
    <x v="12"/>
    <n v="13427.77"/>
    <n v="904.45"/>
    <n v="156"/>
  </r>
  <r>
    <s v="2024-08-30"/>
    <s v="ORD0290"/>
    <x v="1"/>
    <x v="3"/>
    <x v="9"/>
    <n v="30040.62"/>
    <n v="2052.89"/>
    <n v="1623"/>
  </r>
  <r>
    <s v="2024-07-02"/>
    <s v="ORD0291"/>
    <x v="3"/>
    <x v="3"/>
    <x v="9"/>
    <n v="34156.25"/>
    <n v="5364.38"/>
    <n v="1954"/>
  </r>
  <r>
    <s v="2024-03-07"/>
    <s v="ORD0292"/>
    <x v="2"/>
    <x v="3"/>
    <x v="8"/>
    <n v="29785.78"/>
    <n v="6911.13"/>
    <n v="1571"/>
  </r>
  <r>
    <s v="2024-09-30"/>
    <s v="ORD0293"/>
    <x v="1"/>
    <x v="0"/>
    <x v="3"/>
    <n v="26803.57"/>
    <n v="4640.29"/>
    <n v="671"/>
  </r>
  <r>
    <s v="2024-04-27"/>
    <s v="ORD0294"/>
    <x v="2"/>
    <x v="1"/>
    <x v="14"/>
    <n v="32202.400000000001"/>
    <n v="5638.95"/>
    <n v="1637"/>
  </r>
  <r>
    <s v="2024-02-07"/>
    <s v="ORD0295"/>
    <x v="0"/>
    <x v="2"/>
    <x v="5"/>
    <n v="562.96"/>
    <n v="68.72"/>
    <n v="620"/>
  </r>
  <r>
    <s v="2024-08-26"/>
    <s v="ORD0296"/>
    <x v="1"/>
    <x v="3"/>
    <x v="15"/>
    <n v="11991.3"/>
    <n v="1127.25"/>
    <n v="916"/>
  </r>
  <r>
    <s v="2024-08-31"/>
    <s v="ORD0297"/>
    <x v="0"/>
    <x v="2"/>
    <x v="10"/>
    <n v="11239.58"/>
    <n v="602.4"/>
    <n v="1773"/>
  </r>
  <r>
    <s v="2024-08-27"/>
    <s v="ORD0298"/>
    <x v="3"/>
    <x v="1"/>
    <x v="11"/>
    <n v="2331.96"/>
    <n v="446.83"/>
    <n v="1861"/>
  </r>
  <r>
    <s v="2024-11-01"/>
    <s v="ORD0299"/>
    <x v="2"/>
    <x v="1"/>
    <x v="11"/>
    <n v="2861.49"/>
    <n v="417.15"/>
    <n v="865"/>
  </r>
  <r>
    <s v="2024-10-08"/>
    <s v="ORD0300"/>
    <x v="0"/>
    <x v="2"/>
    <x v="12"/>
    <n v="39120.449999999997"/>
    <n v="5399.5"/>
    <n v="962"/>
  </r>
  <r>
    <s v="2024-09-09"/>
    <s v="ORD0301"/>
    <x v="1"/>
    <x v="3"/>
    <x v="7"/>
    <n v="42605.39"/>
    <n v="5104.83"/>
    <n v="1806"/>
  </r>
  <r>
    <s v="2024-04-26"/>
    <s v="ORD0302"/>
    <x v="1"/>
    <x v="1"/>
    <x v="14"/>
    <n v="45103.46"/>
    <n v="5018.1499999999996"/>
    <n v="1077"/>
  </r>
  <r>
    <s v="2024-03-27"/>
    <s v="ORD0303"/>
    <x v="2"/>
    <x v="0"/>
    <x v="6"/>
    <n v="10492.31"/>
    <n v="2410.65"/>
    <n v="1894"/>
  </r>
  <r>
    <s v="2024-07-10"/>
    <s v="ORD0304"/>
    <x v="3"/>
    <x v="0"/>
    <x v="3"/>
    <n v="20142.740000000002"/>
    <n v="2155.98"/>
    <n v="13"/>
  </r>
  <r>
    <s v="2024-09-29"/>
    <s v="ORD0305"/>
    <x v="1"/>
    <x v="2"/>
    <x v="5"/>
    <n v="32693.439999999999"/>
    <n v="3946.78"/>
    <n v="1763"/>
  </r>
  <r>
    <s v="2024-03-16"/>
    <s v="ORD0306"/>
    <x v="1"/>
    <x v="2"/>
    <x v="12"/>
    <n v="36443.72"/>
    <n v="2311.06"/>
    <n v="803"/>
  </r>
  <r>
    <s v="2024-09-08"/>
    <s v="ORD0307"/>
    <x v="2"/>
    <x v="3"/>
    <x v="7"/>
    <n v="35697.129999999997"/>
    <n v="5087.99"/>
    <n v="661"/>
  </r>
  <r>
    <s v="2024-12-08"/>
    <s v="ORD0308"/>
    <x v="1"/>
    <x v="1"/>
    <x v="4"/>
    <n v="3194.28"/>
    <n v="283.88"/>
    <n v="1120"/>
  </r>
  <r>
    <s v="2024-12-12"/>
    <s v="ORD0309"/>
    <x v="0"/>
    <x v="1"/>
    <x v="4"/>
    <n v="13691.79"/>
    <n v="1095.99"/>
    <n v="672"/>
  </r>
  <r>
    <s v="2024-04-20"/>
    <s v="ORD0310"/>
    <x v="0"/>
    <x v="0"/>
    <x v="0"/>
    <n v="37871.39"/>
    <n v="8882.1"/>
    <n v="415"/>
  </r>
  <r>
    <s v="2024-05-03"/>
    <s v="ORD0311"/>
    <x v="1"/>
    <x v="3"/>
    <x v="7"/>
    <n v="19879.240000000002"/>
    <n v="2982.52"/>
    <n v="267"/>
  </r>
  <r>
    <s v="2024-04-22"/>
    <s v="ORD0312"/>
    <x v="1"/>
    <x v="2"/>
    <x v="12"/>
    <n v="28679.84"/>
    <n v="2123.59"/>
    <n v="722"/>
  </r>
  <r>
    <s v="2024-06-13"/>
    <s v="ORD0313"/>
    <x v="3"/>
    <x v="0"/>
    <x v="3"/>
    <n v="42766.36"/>
    <n v="8203.68"/>
    <n v="144"/>
  </r>
  <r>
    <s v="2024-01-10"/>
    <s v="ORD0314"/>
    <x v="3"/>
    <x v="1"/>
    <x v="4"/>
    <n v="43799.23"/>
    <n v="8185.31"/>
    <n v="1593"/>
  </r>
  <r>
    <s v="2024-09-09"/>
    <s v="ORD0315"/>
    <x v="0"/>
    <x v="1"/>
    <x v="14"/>
    <n v="19893.45"/>
    <n v="1127.1400000000001"/>
    <n v="1807"/>
  </r>
  <r>
    <s v="2024-09-14"/>
    <s v="ORD0316"/>
    <x v="2"/>
    <x v="0"/>
    <x v="3"/>
    <n v="20282.759999999998"/>
    <n v="2575.2399999999998"/>
    <n v="1046"/>
  </r>
  <r>
    <s v="2024-03-26"/>
    <s v="ORD0317"/>
    <x v="2"/>
    <x v="2"/>
    <x v="12"/>
    <n v="49109.33"/>
    <n v="9324.9599999999991"/>
    <n v="947"/>
  </r>
  <r>
    <s v="2024-05-24"/>
    <s v="ORD0318"/>
    <x v="0"/>
    <x v="3"/>
    <x v="9"/>
    <n v="15895.48"/>
    <n v="3731.2"/>
    <n v="20"/>
  </r>
  <r>
    <s v="2024-06-05"/>
    <s v="ORD0319"/>
    <x v="1"/>
    <x v="3"/>
    <x v="9"/>
    <n v="35326.959999999999"/>
    <n v="5025.8599999999997"/>
    <n v="1117"/>
  </r>
  <r>
    <s v="2024-05-26"/>
    <s v="ORD0320"/>
    <x v="0"/>
    <x v="1"/>
    <x v="2"/>
    <n v="29184.36"/>
    <n v="4614.99"/>
    <n v="204"/>
  </r>
  <r>
    <s v="2024-11-08"/>
    <s v="ORD0321"/>
    <x v="1"/>
    <x v="2"/>
    <x v="10"/>
    <n v="23399.97"/>
    <n v="4055.21"/>
    <n v="1368"/>
  </r>
  <r>
    <s v="2024-09-06"/>
    <s v="ORD0322"/>
    <x v="2"/>
    <x v="2"/>
    <x v="10"/>
    <n v="31121.88"/>
    <n v="2020.7"/>
    <n v="1849"/>
  </r>
  <r>
    <s v="2024-04-04"/>
    <s v="ORD0323"/>
    <x v="0"/>
    <x v="2"/>
    <x v="13"/>
    <n v="14276.85"/>
    <n v="2568.37"/>
    <n v="1692"/>
  </r>
  <r>
    <s v="2024-03-26"/>
    <s v="ORD0324"/>
    <x v="1"/>
    <x v="3"/>
    <x v="15"/>
    <n v="26186.06"/>
    <n v="1701.54"/>
    <n v="280"/>
  </r>
  <r>
    <s v="2024-12-25"/>
    <s v="ORD0325"/>
    <x v="2"/>
    <x v="1"/>
    <x v="2"/>
    <n v="2370.23"/>
    <n v="480.82"/>
    <n v="1460"/>
  </r>
  <r>
    <s v="2024-12-23"/>
    <s v="ORD0326"/>
    <x v="1"/>
    <x v="0"/>
    <x v="1"/>
    <n v="14477.09"/>
    <n v="850.02"/>
    <n v="460"/>
  </r>
  <r>
    <s v="2024-12-20"/>
    <s v="ORD0327"/>
    <x v="2"/>
    <x v="3"/>
    <x v="7"/>
    <n v="36867.22"/>
    <n v="3041.28"/>
    <n v="742"/>
  </r>
  <r>
    <s v="2024-06-23"/>
    <s v="ORD0328"/>
    <x v="1"/>
    <x v="2"/>
    <x v="13"/>
    <n v="33490.5"/>
    <n v="3732.98"/>
    <n v="1653"/>
  </r>
  <r>
    <s v="2024-09-13"/>
    <s v="ORD0329"/>
    <x v="0"/>
    <x v="0"/>
    <x v="3"/>
    <n v="27422.46"/>
    <n v="5401.06"/>
    <n v="471"/>
  </r>
  <r>
    <s v="2024-11-18"/>
    <s v="ORD0330"/>
    <x v="3"/>
    <x v="3"/>
    <x v="9"/>
    <n v="18958.46"/>
    <n v="4047.22"/>
    <n v="1735"/>
  </r>
  <r>
    <s v="2024-01-04"/>
    <s v="ORD0331"/>
    <x v="0"/>
    <x v="0"/>
    <x v="3"/>
    <n v="25785.919999999998"/>
    <n v="4502.7"/>
    <n v="323"/>
  </r>
  <r>
    <s v="2024-01-11"/>
    <s v="ORD0332"/>
    <x v="0"/>
    <x v="2"/>
    <x v="13"/>
    <n v="31184.54"/>
    <n v="2637.85"/>
    <n v="1433"/>
  </r>
  <r>
    <s v="2024-07-05"/>
    <s v="ORD0333"/>
    <x v="2"/>
    <x v="2"/>
    <x v="5"/>
    <n v="34586.75"/>
    <n v="7110.33"/>
    <n v="972"/>
  </r>
  <r>
    <s v="2024-06-08"/>
    <s v="ORD0334"/>
    <x v="2"/>
    <x v="1"/>
    <x v="11"/>
    <n v="38872.300000000003"/>
    <n v="5701.67"/>
    <n v="1522"/>
  </r>
  <r>
    <s v="2024-12-04"/>
    <s v="ORD0335"/>
    <x v="1"/>
    <x v="3"/>
    <x v="8"/>
    <n v="43878.879999999997"/>
    <n v="2583.23"/>
    <n v="134"/>
  </r>
  <r>
    <s v="2024-04-13"/>
    <s v="ORD0336"/>
    <x v="3"/>
    <x v="2"/>
    <x v="10"/>
    <n v="37243.61"/>
    <n v="8457.44"/>
    <n v="828"/>
  </r>
  <r>
    <s v="2024-05-13"/>
    <s v="ORD0337"/>
    <x v="0"/>
    <x v="0"/>
    <x v="0"/>
    <n v="42717.45"/>
    <n v="8615.35"/>
    <n v="1702"/>
  </r>
  <r>
    <s v="2024-06-04"/>
    <s v="ORD0338"/>
    <x v="2"/>
    <x v="1"/>
    <x v="2"/>
    <n v="45054.97"/>
    <n v="10749.84"/>
    <n v="1271"/>
  </r>
  <r>
    <s v="2024-06-22"/>
    <s v="ORD0339"/>
    <x v="2"/>
    <x v="1"/>
    <x v="4"/>
    <n v="33357.86"/>
    <n v="1947.63"/>
    <n v="744"/>
  </r>
  <r>
    <s v="2024-06-01"/>
    <s v="ORD0340"/>
    <x v="1"/>
    <x v="3"/>
    <x v="8"/>
    <n v="7597.49"/>
    <n v="1736.15"/>
    <n v="1504"/>
  </r>
  <r>
    <s v="2024-06-25"/>
    <s v="ORD0341"/>
    <x v="2"/>
    <x v="0"/>
    <x v="1"/>
    <n v="24948.63"/>
    <n v="5197.6099999999997"/>
    <n v="209"/>
  </r>
  <r>
    <s v="2024-04-04"/>
    <s v="ORD0342"/>
    <x v="0"/>
    <x v="2"/>
    <x v="13"/>
    <n v="3375.99"/>
    <n v="212.71"/>
    <n v="734"/>
  </r>
  <r>
    <s v="2024-12-27"/>
    <s v="ORD0343"/>
    <x v="3"/>
    <x v="3"/>
    <x v="9"/>
    <n v="26987.69"/>
    <n v="2569.62"/>
    <n v="1300"/>
  </r>
  <r>
    <s v="2024-12-17"/>
    <s v="ORD0344"/>
    <x v="0"/>
    <x v="0"/>
    <x v="1"/>
    <n v="49886.9"/>
    <n v="7731.02"/>
    <n v="1745"/>
  </r>
  <r>
    <s v="2024-09-18"/>
    <s v="ORD0345"/>
    <x v="1"/>
    <x v="0"/>
    <x v="6"/>
    <n v="44041.32"/>
    <n v="8970.7199999999993"/>
    <n v="1920"/>
  </r>
  <r>
    <s v="2024-09-03"/>
    <s v="ORD0346"/>
    <x v="3"/>
    <x v="0"/>
    <x v="6"/>
    <n v="15426.33"/>
    <n v="1438.52"/>
    <n v="86"/>
  </r>
  <r>
    <s v="2024-07-10"/>
    <s v="ORD0347"/>
    <x v="0"/>
    <x v="1"/>
    <x v="14"/>
    <n v="27194.67"/>
    <n v="5122.54"/>
    <n v="361"/>
  </r>
  <r>
    <s v="2024-10-29"/>
    <s v="ORD0348"/>
    <x v="1"/>
    <x v="3"/>
    <x v="7"/>
    <n v="33855.82"/>
    <n v="6956.93"/>
    <n v="1818"/>
  </r>
  <r>
    <s v="2024-04-03"/>
    <s v="ORD0349"/>
    <x v="2"/>
    <x v="1"/>
    <x v="4"/>
    <n v="9957.93"/>
    <n v="2447.9699999999998"/>
    <n v="106"/>
  </r>
  <r>
    <s v="2024-03-08"/>
    <s v="ORD0350"/>
    <x v="2"/>
    <x v="2"/>
    <x v="13"/>
    <n v="21704.85"/>
    <n v="4741.13"/>
    <n v="611"/>
  </r>
  <r>
    <s v="2024-01-23"/>
    <s v="ORD0351"/>
    <x v="1"/>
    <x v="3"/>
    <x v="7"/>
    <n v="5832.24"/>
    <n v="460.64"/>
    <n v="452"/>
  </r>
  <r>
    <s v="2024-08-17"/>
    <s v="ORD0352"/>
    <x v="1"/>
    <x v="0"/>
    <x v="1"/>
    <n v="27107.45"/>
    <n v="6200.36"/>
    <n v="343"/>
  </r>
  <r>
    <s v="2024-09-03"/>
    <s v="ORD0353"/>
    <x v="3"/>
    <x v="0"/>
    <x v="1"/>
    <n v="27271.599999999999"/>
    <n v="5528.91"/>
    <n v="597"/>
  </r>
  <r>
    <s v="2024-05-07"/>
    <s v="ORD0354"/>
    <x v="1"/>
    <x v="1"/>
    <x v="4"/>
    <n v="37101.75"/>
    <n v="5946.28"/>
    <n v="595"/>
  </r>
  <r>
    <s v="2024-06-19"/>
    <s v="ORD0355"/>
    <x v="1"/>
    <x v="3"/>
    <x v="7"/>
    <n v="49710.5"/>
    <n v="4433.03"/>
    <n v="245"/>
  </r>
  <r>
    <s v="2024-12-25"/>
    <s v="ORD0356"/>
    <x v="1"/>
    <x v="1"/>
    <x v="2"/>
    <n v="41228.39"/>
    <n v="2300.06"/>
    <n v="1190"/>
  </r>
  <r>
    <s v="2024-05-13"/>
    <s v="ORD0357"/>
    <x v="2"/>
    <x v="1"/>
    <x v="11"/>
    <n v="48763.93"/>
    <n v="2523.64"/>
    <n v="1288"/>
  </r>
  <r>
    <s v="2024-11-03"/>
    <s v="ORD0358"/>
    <x v="3"/>
    <x v="1"/>
    <x v="14"/>
    <n v="15268.92"/>
    <n v="2089.13"/>
    <n v="496"/>
  </r>
  <r>
    <s v="2024-04-19"/>
    <s v="ORD0359"/>
    <x v="1"/>
    <x v="3"/>
    <x v="15"/>
    <n v="3699.8"/>
    <n v="683.11"/>
    <n v="246"/>
  </r>
  <r>
    <s v="2024-05-08"/>
    <s v="ORD0360"/>
    <x v="0"/>
    <x v="2"/>
    <x v="13"/>
    <n v="24181.71"/>
    <n v="2529.08"/>
    <n v="1004"/>
  </r>
  <r>
    <s v="2024-04-20"/>
    <s v="ORD0361"/>
    <x v="2"/>
    <x v="3"/>
    <x v="9"/>
    <n v="27019.66"/>
    <n v="6188.03"/>
    <n v="585"/>
  </r>
  <r>
    <s v="2024-08-15"/>
    <s v="ORD0362"/>
    <x v="2"/>
    <x v="0"/>
    <x v="3"/>
    <n v="22403.69"/>
    <n v="2945.77"/>
    <n v="572"/>
  </r>
  <r>
    <s v="2024-03-25"/>
    <s v="ORD0363"/>
    <x v="3"/>
    <x v="0"/>
    <x v="1"/>
    <n v="6070.38"/>
    <n v="872.24"/>
    <n v="92"/>
  </r>
  <r>
    <s v="2024-06-15"/>
    <s v="ORD0364"/>
    <x v="1"/>
    <x v="2"/>
    <x v="10"/>
    <n v="42350.05"/>
    <n v="3525.93"/>
    <n v="1551"/>
  </r>
  <r>
    <s v="2024-02-25"/>
    <s v="ORD0365"/>
    <x v="2"/>
    <x v="1"/>
    <x v="2"/>
    <n v="41479.919999999998"/>
    <n v="10254.9"/>
    <n v="725"/>
  </r>
  <r>
    <s v="2024-08-11"/>
    <s v="ORD0366"/>
    <x v="1"/>
    <x v="1"/>
    <x v="14"/>
    <n v="31840.42"/>
    <n v="3539.25"/>
    <n v="585"/>
  </r>
  <r>
    <s v="2024-04-17"/>
    <s v="ORD0367"/>
    <x v="1"/>
    <x v="2"/>
    <x v="5"/>
    <n v="25041.85"/>
    <n v="5793.86"/>
    <n v="1564"/>
  </r>
  <r>
    <s v="2024-08-07"/>
    <s v="ORD0368"/>
    <x v="2"/>
    <x v="3"/>
    <x v="7"/>
    <n v="8167.97"/>
    <n v="1511.23"/>
    <n v="1710"/>
  </r>
  <r>
    <s v="2024-11-18"/>
    <s v="ORD0369"/>
    <x v="0"/>
    <x v="3"/>
    <x v="7"/>
    <n v="49177.67"/>
    <n v="9240.73"/>
    <n v="1382"/>
  </r>
  <r>
    <s v="2024-01-05"/>
    <s v="ORD0370"/>
    <x v="1"/>
    <x v="2"/>
    <x v="12"/>
    <n v="36041.78"/>
    <n v="6599.56"/>
    <n v="1376"/>
  </r>
  <r>
    <s v="2024-03-06"/>
    <s v="ORD0371"/>
    <x v="3"/>
    <x v="1"/>
    <x v="4"/>
    <n v="19263.46"/>
    <n v="2461.14"/>
    <n v="1400"/>
  </r>
  <r>
    <s v="2024-02-27"/>
    <s v="ORD0372"/>
    <x v="3"/>
    <x v="0"/>
    <x v="6"/>
    <n v="25816.33"/>
    <n v="4995.6000000000004"/>
    <n v="64"/>
  </r>
  <r>
    <s v="2024-08-26"/>
    <s v="ORD0373"/>
    <x v="1"/>
    <x v="1"/>
    <x v="2"/>
    <n v="13414.58"/>
    <n v="1962.2"/>
    <n v="1969"/>
  </r>
  <r>
    <s v="2024-10-16"/>
    <s v="ORD0374"/>
    <x v="0"/>
    <x v="3"/>
    <x v="15"/>
    <n v="10568.66"/>
    <n v="759"/>
    <n v="492"/>
  </r>
  <r>
    <s v="2024-10-10"/>
    <s v="ORD0375"/>
    <x v="0"/>
    <x v="2"/>
    <x v="5"/>
    <n v="9411.64"/>
    <n v="1262.83"/>
    <n v="1560"/>
  </r>
  <r>
    <s v="2024-02-09"/>
    <s v="ORD0376"/>
    <x v="1"/>
    <x v="3"/>
    <x v="9"/>
    <n v="20549.439999999999"/>
    <n v="2588.3200000000002"/>
    <n v="956"/>
  </r>
  <r>
    <s v="2024-06-29"/>
    <s v="ORD0377"/>
    <x v="1"/>
    <x v="2"/>
    <x v="12"/>
    <n v="21289.93"/>
    <n v="2842.8"/>
    <n v="730"/>
  </r>
  <r>
    <s v="2024-12-05"/>
    <s v="ORD0378"/>
    <x v="3"/>
    <x v="2"/>
    <x v="5"/>
    <n v="39237.69"/>
    <n v="5159.6899999999996"/>
    <n v="29"/>
  </r>
  <r>
    <s v="2024-09-17"/>
    <s v="ORD0379"/>
    <x v="2"/>
    <x v="1"/>
    <x v="14"/>
    <n v="28906.11"/>
    <n v="5759.16"/>
    <n v="1041"/>
  </r>
  <r>
    <s v="2024-06-06"/>
    <s v="ORD0380"/>
    <x v="2"/>
    <x v="3"/>
    <x v="7"/>
    <n v="27840.89"/>
    <n v="5813.3"/>
    <n v="76"/>
  </r>
  <r>
    <s v="2024-02-21"/>
    <s v="ORD0381"/>
    <x v="0"/>
    <x v="2"/>
    <x v="10"/>
    <n v="16482.82"/>
    <n v="2089.8200000000002"/>
    <n v="913"/>
  </r>
  <r>
    <s v="2024-01-01"/>
    <s v="ORD0382"/>
    <x v="3"/>
    <x v="1"/>
    <x v="14"/>
    <n v="18026.509999999998"/>
    <n v="2981.35"/>
    <n v="1553"/>
  </r>
  <r>
    <s v="2024-10-13"/>
    <s v="ORD0383"/>
    <x v="1"/>
    <x v="3"/>
    <x v="9"/>
    <n v="23319.91"/>
    <n v="3341.46"/>
    <n v="1127"/>
  </r>
  <r>
    <s v="2024-10-10"/>
    <s v="ORD0384"/>
    <x v="2"/>
    <x v="2"/>
    <x v="13"/>
    <n v="31684.6"/>
    <n v="5812.34"/>
    <n v="251"/>
  </r>
  <r>
    <s v="2024-06-13"/>
    <s v="ORD0385"/>
    <x v="1"/>
    <x v="3"/>
    <x v="15"/>
    <n v="28843.8"/>
    <n v="7195.86"/>
    <n v="1888"/>
  </r>
  <r>
    <s v="2024-04-23"/>
    <s v="ORD0386"/>
    <x v="0"/>
    <x v="0"/>
    <x v="6"/>
    <n v="47517.22"/>
    <n v="3372.25"/>
    <n v="1329"/>
  </r>
  <r>
    <s v="2024-11-28"/>
    <s v="ORD0387"/>
    <x v="2"/>
    <x v="0"/>
    <x v="3"/>
    <n v="36664.22"/>
    <n v="5000.13"/>
    <n v="1727"/>
  </r>
  <r>
    <s v="2024-04-04"/>
    <s v="ORD0388"/>
    <x v="0"/>
    <x v="0"/>
    <x v="1"/>
    <n v="16249.75"/>
    <n v="2093.98"/>
    <n v="1469"/>
  </r>
  <r>
    <s v="2024-03-12"/>
    <s v="ORD0389"/>
    <x v="1"/>
    <x v="1"/>
    <x v="11"/>
    <n v="8166.38"/>
    <n v="1548.77"/>
    <n v="1387"/>
  </r>
  <r>
    <s v="2024-09-25"/>
    <s v="ORD0390"/>
    <x v="2"/>
    <x v="0"/>
    <x v="6"/>
    <n v="49920.34"/>
    <n v="6324.83"/>
    <n v="1609"/>
  </r>
  <r>
    <s v="2024-07-29"/>
    <s v="ORD0391"/>
    <x v="3"/>
    <x v="1"/>
    <x v="4"/>
    <n v="23523"/>
    <n v="4274.38"/>
    <n v="1906"/>
  </r>
  <r>
    <s v="2024-08-25"/>
    <s v="ORD0392"/>
    <x v="2"/>
    <x v="1"/>
    <x v="4"/>
    <n v="8914.4699999999993"/>
    <n v="969.12"/>
    <n v="648"/>
  </r>
  <r>
    <s v="2024-01-24"/>
    <s v="ORD0393"/>
    <x v="3"/>
    <x v="3"/>
    <x v="7"/>
    <n v="41156.69"/>
    <n v="7443.77"/>
    <n v="459"/>
  </r>
  <r>
    <s v="2024-04-05"/>
    <s v="ORD0394"/>
    <x v="1"/>
    <x v="1"/>
    <x v="2"/>
    <n v="35248.239999999998"/>
    <n v="2054.44"/>
    <n v="1147"/>
  </r>
  <r>
    <s v="2024-11-23"/>
    <s v="ORD0395"/>
    <x v="1"/>
    <x v="2"/>
    <x v="13"/>
    <n v="48134.67"/>
    <n v="10451.469999999999"/>
    <n v="641"/>
  </r>
  <r>
    <s v="2024-06-02"/>
    <s v="ORD0396"/>
    <x v="2"/>
    <x v="2"/>
    <x v="10"/>
    <n v="15034.8"/>
    <n v="3270.14"/>
    <n v="1296"/>
  </r>
  <r>
    <s v="2024-03-01"/>
    <s v="ORD0397"/>
    <x v="1"/>
    <x v="3"/>
    <x v="15"/>
    <n v="37076.92"/>
    <n v="7343.99"/>
    <n v="404"/>
  </r>
  <r>
    <s v="2024-12-12"/>
    <s v="ORD0398"/>
    <x v="1"/>
    <x v="0"/>
    <x v="3"/>
    <n v="23104.59"/>
    <n v="2951.14"/>
    <n v="1569"/>
  </r>
  <r>
    <s v="2024-03-07"/>
    <s v="ORD0399"/>
    <x v="1"/>
    <x v="3"/>
    <x v="8"/>
    <n v="43017.48"/>
    <n v="3632.75"/>
    <n v="1868"/>
  </r>
  <r>
    <s v="2024-04-04"/>
    <s v="ORD0400"/>
    <x v="3"/>
    <x v="2"/>
    <x v="5"/>
    <n v="43527.35"/>
    <n v="4836.8599999999997"/>
    <n v="1431"/>
  </r>
  <r>
    <s v="2024-10-03"/>
    <s v="ORD0401"/>
    <x v="0"/>
    <x v="3"/>
    <x v="8"/>
    <n v="7404.39"/>
    <n v="1422.65"/>
    <n v="1245"/>
  </r>
  <r>
    <s v="2024-07-17"/>
    <s v="ORD0402"/>
    <x v="0"/>
    <x v="0"/>
    <x v="0"/>
    <n v="6093.14"/>
    <n v="1232.08"/>
    <n v="643"/>
  </r>
  <r>
    <s v="2024-05-07"/>
    <s v="ORD0403"/>
    <x v="2"/>
    <x v="1"/>
    <x v="11"/>
    <n v="22323.25"/>
    <n v="2043.28"/>
    <n v="1100"/>
  </r>
  <r>
    <s v="2024-06-23"/>
    <s v="ORD0404"/>
    <x v="1"/>
    <x v="3"/>
    <x v="9"/>
    <n v="1837.74"/>
    <n v="382.52"/>
    <n v="1279"/>
  </r>
  <r>
    <s v="2024-02-04"/>
    <s v="ORD0405"/>
    <x v="1"/>
    <x v="0"/>
    <x v="3"/>
    <n v="31115.99"/>
    <n v="5923.24"/>
    <n v="252"/>
  </r>
  <r>
    <s v="2024-01-26"/>
    <s v="ORD0406"/>
    <x v="1"/>
    <x v="0"/>
    <x v="1"/>
    <n v="3413.12"/>
    <n v="644.79999999999995"/>
    <n v="729"/>
  </r>
  <r>
    <s v="2024-06-06"/>
    <s v="ORD0407"/>
    <x v="3"/>
    <x v="3"/>
    <x v="15"/>
    <n v="46093.02"/>
    <n v="7206.57"/>
    <n v="956"/>
  </r>
  <r>
    <s v="2024-10-10"/>
    <s v="ORD0408"/>
    <x v="2"/>
    <x v="3"/>
    <x v="9"/>
    <n v="15996.67"/>
    <n v="3120.07"/>
    <n v="1076"/>
  </r>
  <r>
    <s v="2024-03-31"/>
    <s v="ORD0409"/>
    <x v="1"/>
    <x v="0"/>
    <x v="1"/>
    <n v="35869.550000000003"/>
    <n v="5772.73"/>
    <n v="858"/>
  </r>
  <r>
    <s v="2024-03-28"/>
    <s v="ORD0410"/>
    <x v="0"/>
    <x v="0"/>
    <x v="0"/>
    <n v="21913.96"/>
    <n v="2086.89"/>
    <n v="1597"/>
  </r>
  <r>
    <s v="2024-07-28"/>
    <s v="ORD0411"/>
    <x v="1"/>
    <x v="1"/>
    <x v="14"/>
    <n v="16992.98"/>
    <n v="2517.48"/>
    <n v="1183"/>
  </r>
  <r>
    <s v="2024-12-17"/>
    <s v="ORD0412"/>
    <x v="3"/>
    <x v="2"/>
    <x v="12"/>
    <n v="25694.75"/>
    <n v="4795.8"/>
    <n v="1542"/>
  </r>
  <r>
    <s v="2024-12-09"/>
    <s v="ORD0413"/>
    <x v="3"/>
    <x v="1"/>
    <x v="11"/>
    <n v="10477.15"/>
    <n v="696.25"/>
    <n v="1608"/>
  </r>
  <r>
    <s v="2024-08-18"/>
    <s v="ORD0414"/>
    <x v="1"/>
    <x v="2"/>
    <x v="13"/>
    <n v="30676.880000000001"/>
    <n v="5811.76"/>
    <n v="1741"/>
  </r>
  <r>
    <s v="2024-10-05"/>
    <s v="ORD0415"/>
    <x v="3"/>
    <x v="0"/>
    <x v="0"/>
    <n v="36771.74"/>
    <n v="3831.04"/>
    <n v="465"/>
  </r>
  <r>
    <s v="2024-09-28"/>
    <s v="ORD0416"/>
    <x v="1"/>
    <x v="1"/>
    <x v="11"/>
    <n v="26320.77"/>
    <n v="2306.6799999999998"/>
    <n v="751"/>
  </r>
  <r>
    <s v="2024-12-23"/>
    <s v="ORD0417"/>
    <x v="2"/>
    <x v="0"/>
    <x v="1"/>
    <n v="7518.45"/>
    <n v="1185.8399999999999"/>
    <n v="114"/>
  </r>
  <r>
    <s v="2024-06-13"/>
    <s v="ORD0418"/>
    <x v="2"/>
    <x v="0"/>
    <x v="3"/>
    <n v="32998.26"/>
    <n v="6587.69"/>
    <n v="1518"/>
  </r>
  <r>
    <s v="2024-11-17"/>
    <s v="ORD0419"/>
    <x v="0"/>
    <x v="3"/>
    <x v="8"/>
    <n v="18718.13"/>
    <n v="4134.46"/>
    <n v="1093"/>
  </r>
  <r>
    <s v="2024-09-12"/>
    <s v="ORD0420"/>
    <x v="0"/>
    <x v="3"/>
    <x v="9"/>
    <n v="39237.71"/>
    <n v="2575.92"/>
    <n v="436"/>
  </r>
  <r>
    <s v="2024-11-11"/>
    <s v="ORD0421"/>
    <x v="2"/>
    <x v="3"/>
    <x v="8"/>
    <n v="37643.67"/>
    <n v="7701.01"/>
    <n v="808"/>
  </r>
  <r>
    <s v="2024-07-24"/>
    <s v="ORD0422"/>
    <x v="3"/>
    <x v="2"/>
    <x v="13"/>
    <n v="45170.68"/>
    <n v="3926.42"/>
    <n v="690"/>
  </r>
  <r>
    <s v="2024-02-23"/>
    <s v="ORD0423"/>
    <x v="3"/>
    <x v="0"/>
    <x v="1"/>
    <n v="49158.51"/>
    <n v="11978.31"/>
    <n v="1195"/>
  </r>
  <r>
    <s v="2024-12-13"/>
    <s v="ORD0424"/>
    <x v="3"/>
    <x v="0"/>
    <x v="1"/>
    <n v="22809.15"/>
    <n v="1145.99"/>
    <n v="1627"/>
  </r>
  <r>
    <s v="2024-11-30"/>
    <s v="ORD0425"/>
    <x v="2"/>
    <x v="2"/>
    <x v="12"/>
    <n v="1343.44"/>
    <n v="198.15"/>
    <n v="629"/>
  </r>
  <r>
    <s v="2024-04-11"/>
    <s v="ORD0426"/>
    <x v="1"/>
    <x v="1"/>
    <x v="11"/>
    <n v="36763.79"/>
    <n v="5302.22"/>
    <n v="268"/>
  </r>
  <r>
    <s v="2024-03-04"/>
    <s v="ORD0427"/>
    <x v="0"/>
    <x v="3"/>
    <x v="7"/>
    <n v="45864.02"/>
    <n v="8007.39"/>
    <n v="419"/>
  </r>
  <r>
    <s v="2024-06-22"/>
    <s v="ORD0428"/>
    <x v="1"/>
    <x v="1"/>
    <x v="11"/>
    <n v="26963.01"/>
    <n v="4575.54"/>
    <n v="327"/>
  </r>
  <r>
    <s v="2024-01-09"/>
    <s v="ORD0429"/>
    <x v="3"/>
    <x v="0"/>
    <x v="1"/>
    <n v="34779.01"/>
    <n v="1832.09"/>
    <n v="200"/>
  </r>
  <r>
    <s v="2024-01-11"/>
    <s v="ORD0430"/>
    <x v="3"/>
    <x v="0"/>
    <x v="1"/>
    <n v="47113.29"/>
    <n v="10702.66"/>
    <n v="212"/>
  </r>
  <r>
    <s v="2024-02-23"/>
    <s v="ORD0431"/>
    <x v="1"/>
    <x v="3"/>
    <x v="8"/>
    <n v="16281.19"/>
    <n v="3556.75"/>
    <n v="947"/>
  </r>
  <r>
    <s v="2024-10-06"/>
    <s v="ORD0432"/>
    <x v="3"/>
    <x v="0"/>
    <x v="3"/>
    <n v="11676.45"/>
    <n v="1465.41"/>
    <n v="373"/>
  </r>
  <r>
    <s v="2024-01-03"/>
    <s v="ORD0433"/>
    <x v="1"/>
    <x v="2"/>
    <x v="13"/>
    <n v="35539.71"/>
    <n v="3661.97"/>
    <n v="708"/>
  </r>
  <r>
    <s v="2024-04-18"/>
    <s v="ORD0434"/>
    <x v="2"/>
    <x v="2"/>
    <x v="5"/>
    <n v="36745.699999999997"/>
    <n v="7182.08"/>
    <n v="1982"/>
  </r>
  <r>
    <s v="2024-01-25"/>
    <s v="ORD0435"/>
    <x v="1"/>
    <x v="0"/>
    <x v="6"/>
    <n v="36447.129999999997"/>
    <n v="5146.47"/>
    <n v="220"/>
  </r>
  <r>
    <s v="2024-02-24"/>
    <s v="ORD0436"/>
    <x v="2"/>
    <x v="2"/>
    <x v="10"/>
    <n v="33332.400000000001"/>
    <n v="6051.66"/>
    <n v="1175"/>
  </r>
  <r>
    <s v="2024-05-25"/>
    <s v="ORD0437"/>
    <x v="0"/>
    <x v="1"/>
    <x v="14"/>
    <n v="18389.88"/>
    <n v="1508.11"/>
    <n v="294"/>
  </r>
  <r>
    <s v="2024-02-17"/>
    <s v="ORD0438"/>
    <x v="2"/>
    <x v="2"/>
    <x v="5"/>
    <n v="6688.96"/>
    <n v="722.48"/>
    <n v="620"/>
  </r>
  <r>
    <s v="2024-01-25"/>
    <s v="ORD0439"/>
    <x v="3"/>
    <x v="1"/>
    <x v="4"/>
    <n v="49767.839999999997"/>
    <n v="4616.88"/>
    <n v="904"/>
  </r>
  <r>
    <s v="2024-06-24"/>
    <s v="ORD0440"/>
    <x v="1"/>
    <x v="0"/>
    <x v="1"/>
    <n v="8302.32"/>
    <n v="694.17"/>
    <n v="1282"/>
  </r>
  <r>
    <s v="2024-03-15"/>
    <s v="ORD0441"/>
    <x v="2"/>
    <x v="1"/>
    <x v="11"/>
    <n v="42394.3"/>
    <n v="9599.34"/>
    <n v="849"/>
  </r>
  <r>
    <s v="2024-04-22"/>
    <s v="ORD0442"/>
    <x v="1"/>
    <x v="2"/>
    <x v="12"/>
    <n v="43922.2"/>
    <n v="3817.83"/>
    <n v="601"/>
  </r>
  <r>
    <s v="2024-05-04"/>
    <s v="ORD0443"/>
    <x v="2"/>
    <x v="3"/>
    <x v="15"/>
    <n v="42092.58"/>
    <n v="6782.57"/>
    <n v="976"/>
  </r>
  <r>
    <s v="2024-03-10"/>
    <s v="ORD0444"/>
    <x v="0"/>
    <x v="0"/>
    <x v="1"/>
    <n v="42570.65"/>
    <n v="9547.69"/>
    <n v="274"/>
  </r>
  <r>
    <s v="2024-06-06"/>
    <s v="ORD0445"/>
    <x v="1"/>
    <x v="1"/>
    <x v="11"/>
    <n v="44125"/>
    <n v="3057.05"/>
    <n v="920"/>
  </r>
  <r>
    <s v="2024-09-16"/>
    <s v="ORD0446"/>
    <x v="2"/>
    <x v="2"/>
    <x v="10"/>
    <n v="5018.92"/>
    <n v="818.22"/>
    <n v="1348"/>
  </r>
  <r>
    <s v="2024-06-02"/>
    <s v="ORD0447"/>
    <x v="3"/>
    <x v="2"/>
    <x v="5"/>
    <n v="7237.36"/>
    <n v="528.37"/>
    <n v="1345"/>
  </r>
  <r>
    <s v="2024-04-13"/>
    <s v="ORD0448"/>
    <x v="2"/>
    <x v="1"/>
    <x v="4"/>
    <n v="9027.68"/>
    <n v="512.66"/>
    <n v="793"/>
  </r>
  <r>
    <s v="2024-07-12"/>
    <s v="ORD0449"/>
    <x v="1"/>
    <x v="1"/>
    <x v="11"/>
    <n v="35904.76"/>
    <n v="6198.72"/>
    <n v="1438"/>
  </r>
  <r>
    <s v="2024-06-02"/>
    <s v="ORD0450"/>
    <x v="1"/>
    <x v="0"/>
    <x v="0"/>
    <n v="43215.09"/>
    <n v="5749.31"/>
    <n v="1472"/>
  </r>
  <r>
    <s v="2024-07-02"/>
    <s v="ORD0451"/>
    <x v="1"/>
    <x v="1"/>
    <x v="11"/>
    <n v="3385.24"/>
    <n v="663.01"/>
    <n v="1914"/>
  </r>
  <r>
    <s v="2024-08-04"/>
    <s v="ORD0452"/>
    <x v="3"/>
    <x v="0"/>
    <x v="0"/>
    <n v="36950.800000000003"/>
    <n v="4533.84"/>
    <n v="1053"/>
  </r>
  <r>
    <s v="2024-04-07"/>
    <s v="ORD0453"/>
    <x v="3"/>
    <x v="3"/>
    <x v="7"/>
    <n v="4134.3"/>
    <n v="378.22"/>
    <n v="1500"/>
  </r>
  <r>
    <s v="2024-03-16"/>
    <s v="ORD0454"/>
    <x v="1"/>
    <x v="1"/>
    <x v="11"/>
    <n v="39418.199999999997"/>
    <n v="9697.3799999999992"/>
    <n v="623"/>
  </r>
  <r>
    <s v="2024-11-30"/>
    <s v="ORD0455"/>
    <x v="2"/>
    <x v="1"/>
    <x v="4"/>
    <n v="3097.76"/>
    <n v="469.39"/>
    <n v="1479"/>
  </r>
  <r>
    <s v="2024-08-13"/>
    <s v="ORD0456"/>
    <x v="1"/>
    <x v="3"/>
    <x v="15"/>
    <n v="5940.23"/>
    <n v="957.56"/>
    <n v="1858"/>
  </r>
  <r>
    <s v="2024-10-13"/>
    <s v="ORD0457"/>
    <x v="0"/>
    <x v="0"/>
    <x v="6"/>
    <n v="21114.880000000001"/>
    <n v="3546.96"/>
    <n v="1309"/>
  </r>
  <r>
    <s v="2024-10-06"/>
    <s v="ORD0458"/>
    <x v="2"/>
    <x v="1"/>
    <x v="4"/>
    <n v="46914.78"/>
    <n v="2574.6999999999998"/>
    <n v="282"/>
  </r>
  <r>
    <s v="2024-03-29"/>
    <s v="ORD0459"/>
    <x v="2"/>
    <x v="1"/>
    <x v="4"/>
    <n v="27482.41"/>
    <n v="2178.4499999999998"/>
    <n v="261"/>
  </r>
  <r>
    <s v="2024-01-20"/>
    <s v="ORD0460"/>
    <x v="0"/>
    <x v="0"/>
    <x v="0"/>
    <n v="23697.02"/>
    <n v="2287.42"/>
    <n v="419"/>
  </r>
  <r>
    <s v="2024-02-18"/>
    <s v="ORD0461"/>
    <x v="3"/>
    <x v="0"/>
    <x v="1"/>
    <n v="21549.91"/>
    <n v="3865.82"/>
    <n v="1944"/>
  </r>
  <r>
    <s v="2024-10-14"/>
    <s v="ORD0462"/>
    <x v="2"/>
    <x v="2"/>
    <x v="12"/>
    <n v="38813.72"/>
    <n v="5760.69"/>
    <n v="834"/>
  </r>
  <r>
    <s v="2024-04-19"/>
    <s v="ORD0463"/>
    <x v="2"/>
    <x v="2"/>
    <x v="12"/>
    <n v="45557.78"/>
    <n v="9588.57"/>
    <n v="1077"/>
  </r>
  <r>
    <s v="2024-01-04"/>
    <s v="ORD0464"/>
    <x v="0"/>
    <x v="3"/>
    <x v="15"/>
    <n v="48787.22"/>
    <n v="7455.49"/>
    <n v="1582"/>
  </r>
  <r>
    <s v="2024-10-09"/>
    <s v="ORD0465"/>
    <x v="1"/>
    <x v="0"/>
    <x v="0"/>
    <n v="33021.72"/>
    <n v="5629.82"/>
    <n v="1825"/>
  </r>
  <r>
    <s v="2024-07-20"/>
    <s v="ORD0466"/>
    <x v="1"/>
    <x v="3"/>
    <x v="7"/>
    <n v="48843.09"/>
    <n v="4406.8999999999996"/>
    <n v="218"/>
  </r>
  <r>
    <s v="2024-06-27"/>
    <s v="ORD0467"/>
    <x v="0"/>
    <x v="3"/>
    <x v="7"/>
    <n v="46061.86"/>
    <n v="5838.73"/>
    <n v="1480"/>
  </r>
  <r>
    <s v="2024-03-23"/>
    <s v="ORD0468"/>
    <x v="3"/>
    <x v="3"/>
    <x v="8"/>
    <n v="17910.27"/>
    <n v="3418.38"/>
    <n v="1326"/>
  </r>
  <r>
    <s v="2024-11-20"/>
    <s v="ORD0469"/>
    <x v="1"/>
    <x v="2"/>
    <x v="13"/>
    <n v="26081.919999999998"/>
    <n v="3060.59"/>
    <n v="364"/>
  </r>
  <r>
    <s v="2024-01-05"/>
    <s v="ORD0470"/>
    <x v="0"/>
    <x v="2"/>
    <x v="13"/>
    <n v="18864.18"/>
    <n v="3386.95"/>
    <n v="343"/>
  </r>
  <r>
    <s v="2024-02-06"/>
    <s v="ORD0471"/>
    <x v="1"/>
    <x v="0"/>
    <x v="3"/>
    <n v="15632.88"/>
    <n v="3288.57"/>
    <n v="1954"/>
  </r>
  <r>
    <s v="2024-08-20"/>
    <s v="ORD0472"/>
    <x v="1"/>
    <x v="2"/>
    <x v="12"/>
    <n v="38686.46"/>
    <n v="4804.28"/>
    <n v="722"/>
  </r>
  <r>
    <s v="2024-08-11"/>
    <s v="ORD0473"/>
    <x v="3"/>
    <x v="3"/>
    <x v="8"/>
    <n v="41927.449999999997"/>
    <n v="2536.96"/>
    <n v="1589"/>
  </r>
  <r>
    <s v="2024-09-29"/>
    <s v="ORD0474"/>
    <x v="0"/>
    <x v="2"/>
    <x v="5"/>
    <n v="29419.98"/>
    <n v="4585.42"/>
    <n v="527"/>
  </r>
  <r>
    <s v="2024-05-06"/>
    <s v="ORD0475"/>
    <x v="3"/>
    <x v="2"/>
    <x v="10"/>
    <n v="38984.199999999997"/>
    <n v="5904.68"/>
    <n v="1675"/>
  </r>
  <r>
    <s v="2024-02-06"/>
    <s v="ORD0476"/>
    <x v="2"/>
    <x v="1"/>
    <x v="11"/>
    <n v="43110.12"/>
    <n v="7307.66"/>
    <n v="195"/>
  </r>
  <r>
    <s v="2024-11-15"/>
    <s v="ORD0477"/>
    <x v="3"/>
    <x v="2"/>
    <x v="10"/>
    <n v="9361.9"/>
    <n v="2043.29"/>
    <n v="1082"/>
  </r>
  <r>
    <s v="2024-07-15"/>
    <s v="ORD0478"/>
    <x v="3"/>
    <x v="1"/>
    <x v="4"/>
    <n v="28997.42"/>
    <n v="7209.71"/>
    <n v="374"/>
  </r>
  <r>
    <s v="2024-10-08"/>
    <s v="ORD0479"/>
    <x v="3"/>
    <x v="2"/>
    <x v="13"/>
    <n v="30857.38"/>
    <n v="2543.25"/>
    <n v="525"/>
  </r>
  <r>
    <s v="2024-03-10"/>
    <s v="ORD0480"/>
    <x v="2"/>
    <x v="2"/>
    <x v="13"/>
    <n v="33309.86"/>
    <n v="8162.81"/>
    <n v="951"/>
  </r>
  <r>
    <s v="2024-08-15"/>
    <s v="ORD0481"/>
    <x v="0"/>
    <x v="3"/>
    <x v="15"/>
    <n v="35860.720000000001"/>
    <n v="5650.6"/>
    <n v="1775"/>
  </r>
  <r>
    <s v="2024-05-22"/>
    <s v="ORD0482"/>
    <x v="3"/>
    <x v="1"/>
    <x v="11"/>
    <n v="9123.26"/>
    <n v="701.01"/>
    <n v="41"/>
  </r>
  <r>
    <s v="2024-03-25"/>
    <s v="ORD0483"/>
    <x v="2"/>
    <x v="1"/>
    <x v="11"/>
    <n v="37155.83"/>
    <n v="7865.27"/>
    <n v="457"/>
  </r>
  <r>
    <s v="2024-02-27"/>
    <s v="ORD0484"/>
    <x v="0"/>
    <x v="1"/>
    <x v="4"/>
    <n v="24732.880000000001"/>
    <n v="3602.23"/>
    <n v="188"/>
  </r>
  <r>
    <s v="2024-12-05"/>
    <s v="ORD0485"/>
    <x v="1"/>
    <x v="3"/>
    <x v="9"/>
    <n v="42853.08"/>
    <n v="2825.09"/>
    <n v="241"/>
  </r>
  <r>
    <s v="2024-12-29"/>
    <s v="ORD0486"/>
    <x v="1"/>
    <x v="2"/>
    <x v="5"/>
    <n v="39959.43"/>
    <n v="3987.82"/>
    <n v="1814"/>
  </r>
  <r>
    <s v="2024-12-19"/>
    <s v="ORD0487"/>
    <x v="3"/>
    <x v="2"/>
    <x v="13"/>
    <n v="30758.36"/>
    <n v="3220.3"/>
    <n v="421"/>
  </r>
  <r>
    <s v="2024-07-09"/>
    <s v="ORD0488"/>
    <x v="3"/>
    <x v="1"/>
    <x v="4"/>
    <n v="23718.42"/>
    <n v="3750.47"/>
    <n v="519"/>
  </r>
  <r>
    <s v="2024-02-19"/>
    <s v="ORD0489"/>
    <x v="3"/>
    <x v="2"/>
    <x v="10"/>
    <n v="41518.36"/>
    <n v="6801.53"/>
    <n v="1820"/>
  </r>
  <r>
    <s v="2024-01-31"/>
    <s v="ORD0490"/>
    <x v="3"/>
    <x v="1"/>
    <x v="14"/>
    <n v="34454.76"/>
    <n v="4032.17"/>
    <n v="1316"/>
  </r>
  <r>
    <s v="2024-11-08"/>
    <s v="ORD0491"/>
    <x v="1"/>
    <x v="3"/>
    <x v="7"/>
    <n v="11461.42"/>
    <n v="2210.34"/>
    <n v="494"/>
  </r>
  <r>
    <s v="2024-02-26"/>
    <s v="ORD0492"/>
    <x v="2"/>
    <x v="0"/>
    <x v="1"/>
    <n v="31708.68"/>
    <n v="3918.37"/>
    <n v="12"/>
  </r>
  <r>
    <s v="2024-04-20"/>
    <s v="ORD0493"/>
    <x v="0"/>
    <x v="3"/>
    <x v="15"/>
    <n v="45113.95"/>
    <n v="8230.89"/>
    <n v="1131"/>
  </r>
  <r>
    <s v="2024-03-21"/>
    <s v="ORD0494"/>
    <x v="1"/>
    <x v="1"/>
    <x v="2"/>
    <n v="32532.58"/>
    <n v="4634.33"/>
    <n v="419"/>
  </r>
  <r>
    <s v="2024-08-03"/>
    <s v="ORD0495"/>
    <x v="1"/>
    <x v="1"/>
    <x v="14"/>
    <n v="43624.74"/>
    <n v="3076.46"/>
    <n v="548"/>
  </r>
  <r>
    <s v="2024-04-15"/>
    <s v="ORD0496"/>
    <x v="0"/>
    <x v="3"/>
    <x v="7"/>
    <n v="42327.76"/>
    <n v="5300.72"/>
    <n v="366"/>
  </r>
  <r>
    <s v="2024-10-30"/>
    <s v="ORD0497"/>
    <x v="0"/>
    <x v="3"/>
    <x v="15"/>
    <n v="1650.06"/>
    <n v="108.59"/>
    <n v="498"/>
  </r>
  <r>
    <s v="2024-10-15"/>
    <s v="ORD0498"/>
    <x v="1"/>
    <x v="3"/>
    <x v="8"/>
    <n v="4963"/>
    <n v="707.12"/>
    <n v="395"/>
  </r>
  <r>
    <s v="2024-07-13"/>
    <s v="ORD0499"/>
    <x v="0"/>
    <x v="2"/>
    <x v="13"/>
    <n v="1544.59"/>
    <n v="227.61"/>
    <n v="1104"/>
  </r>
  <r>
    <s v="2024-09-06"/>
    <s v="ORD0500"/>
    <x v="0"/>
    <x v="1"/>
    <x v="4"/>
    <n v="19071.32"/>
    <n v="4554.03"/>
    <n v="1517"/>
  </r>
  <r>
    <s v="2024-05-26"/>
    <s v="ORD0501"/>
    <x v="0"/>
    <x v="3"/>
    <x v="15"/>
    <n v="31620.75"/>
    <n v="3249.54"/>
    <n v="1442"/>
  </r>
  <r>
    <s v="2024-08-29"/>
    <s v="ORD0502"/>
    <x v="1"/>
    <x v="2"/>
    <x v="5"/>
    <n v="25139.77"/>
    <n v="5770.69"/>
    <n v="770"/>
  </r>
  <r>
    <s v="2024-11-06"/>
    <s v="ORD0503"/>
    <x v="1"/>
    <x v="3"/>
    <x v="8"/>
    <n v="26202.12"/>
    <n v="1365.93"/>
    <n v="1139"/>
  </r>
  <r>
    <s v="2024-10-18"/>
    <s v="ORD0504"/>
    <x v="1"/>
    <x v="1"/>
    <x v="14"/>
    <n v="2857.53"/>
    <n v="220.51"/>
    <n v="1225"/>
  </r>
  <r>
    <s v="2024-05-03"/>
    <s v="ORD0505"/>
    <x v="2"/>
    <x v="3"/>
    <x v="7"/>
    <n v="18531.84"/>
    <n v="3552.62"/>
    <n v="172"/>
  </r>
  <r>
    <s v="2024-12-04"/>
    <s v="ORD0506"/>
    <x v="0"/>
    <x v="3"/>
    <x v="7"/>
    <n v="17925.57"/>
    <n v="3894.8"/>
    <n v="1323"/>
  </r>
  <r>
    <s v="2024-04-16"/>
    <s v="ORD0507"/>
    <x v="0"/>
    <x v="0"/>
    <x v="6"/>
    <n v="8962.27"/>
    <n v="1674.98"/>
    <n v="1261"/>
  </r>
  <r>
    <s v="2024-09-11"/>
    <s v="ORD0508"/>
    <x v="0"/>
    <x v="0"/>
    <x v="1"/>
    <n v="8922.83"/>
    <n v="1880.76"/>
    <n v="424"/>
  </r>
  <r>
    <s v="2024-02-11"/>
    <s v="ORD0509"/>
    <x v="0"/>
    <x v="1"/>
    <x v="4"/>
    <n v="10030.219999999999"/>
    <n v="1010.37"/>
    <n v="516"/>
  </r>
  <r>
    <s v="2024-07-27"/>
    <s v="ORD0510"/>
    <x v="1"/>
    <x v="1"/>
    <x v="2"/>
    <n v="27544.25"/>
    <n v="6148.98"/>
    <n v="44"/>
  </r>
  <r>
    <s v="2024-08-19"/>
    <s v="ORD0511"/>
    <x v="0"/>
    <x v="3"/>
    <x v="9"/>
    <n v="7835.72"/>
    <n v="1614.39"/>
    <n v="1513"/>
  </r>
  <r>
    <s v="2024-11-25"/>
    <s v="ORD0512"/>
    <x v="3"/>
    <x v="0"/>
    <x v="0"/>
    <n v="31910.61"/>
    <n v="3327.41"/>
    <n v="1926"/>
  </r>
  <r>
    <s v="2024-05-23"/>
    <s v="ORD0513"/>
    <x v="1"/>
    <x v="3"/>
    <x v="7"/>
    <n v="23519.75"/>
    <n v="2570.67"/>
    <n v="860"/>
  </r>
  <r>
    <s v="2024-01-18"/>
    <s v="ORD0514"/>
    <x v="3"/>
    <x v="0"/>
    <x v="6"/>
    <n v="31495.99"/>
    <n v="6087.24"/>
    <n v="945"/>
  </r>
  <r>
    <s v="2024-12-07"/>
    <s v="ORD0515"/>
    <x v="3"/>
    <x v="3"/>
    <x v="15"/>
    <n v="29611.35"/>
    <n v="6755.13"/>
    <n v="314"/>
  </r>
  <r>
    <s v="2024-03-01"/>
    <s v="ORD0516"/>
    <x v="2"/>
    <x v="3"/>
    <x v="15"/>
    <n v="48197.2"/>
    <n v="2986.12"/>
    <n v="84"/>
  </r>
  <r>
    <s v="2024-09-17"/>
    <s v="ORD0517"/>
    <x v="0"/>
    <x v="3"/>
    <x v="15"/>
    <n v="9525.01"/>
    <n v="1886.37"/>
    <n v="1293"/>
  </r>
  <r>
    <s v="2024-04-19"/>
    <s v="ORD0518"/>
    <x v="2"/>
    <x v="0"/>
    <x v="3"/>
    <n v="26146.57"/>
    <n v="5917.37"/>
    <n v="1713"/>
  </r>
  <r>
    <s v="2024-07-31"/>
    <s v="ORD0519"/>
    <x v="0"/>
    <x v="1"/>
    <x v="11"/>
    <n v="34452.5"/>
    <n v="8010.08"/>
    <n v="709"/>
  </r>
  <r>
    <s v="2024-05-20"/>
    <s v="ORD0520"/>
    <x v="1"/>
    <x v="2"/>
    <x v="10"/>
    <n v="25641.06"/>
    <n v="3350.41"/>
    <n v="1118"/>
  </r>
  <r>
    <s v="2024-10-10"/>
    <s v="ORD0521"/>
    <x v="3"/>
    <x v="2"/>
    <x v="13"/>
    <n v="33915.49"/>
    <n v="4592.71"/>
    <n v="1580"/>
  </r>
  <r>
    <s v="2024-12-02"/>
    <s v="ORD0522"/>
    <x v="0"/>
    <x v="3"/>
    <x v="9"/>
    <n v="48346.79"/>
    <n v="3597.86"/>
    <n v="1193"/>
  </r>
  <r>
    <s v="2024-12-29"/>
    <s v="ORD0523"/>
    <x v="3"/>
    <x v="3"/>
    <x v="8"/>
    <n v="36976.11"/>
    <n v="8821.8799999999992"/>
    <n v="710"/>
  </r>
  <r>
    <s v="2024-07-25"/>
    <s v="ORD0524"/>
    <x v="2"/>
    <x v="3"/>
    <x v="7"/>
    <n v="5346.52"/>
    <n v="600.71"/>
    <n v="888"/>
  </r>
  <r>
    <s v="2024-03-16"/>
    <s v="ORD0525"/>
    <x v="1"/>
    <x v="1"/>
    <x v="4"/>
    <n v="15051.84"/>
    <n v="2711.89"/>
    <n v="340"/>
  </r>
  <r>
    <s v="2024-01-14"/>
    <s v="ORD0526"/>
    <x v="2"/>
    <x v="2"/>
    <x v="10"/>
    <n v="19986.189999999999"/>
    <n v="4146.07"/>
    <n v="1391"/>
  </r>
  <r>
    <s v="2024-07-10"/>
    <s v="ORD0527"/>
    <x v="1"/>
    <x v="1"/>
    <x v="4"/>
    <n v="31338.3"/>
    <n v="4614.8599999999997"/>
    <n v="260"/>
  </r>
  <r>
    <s v="2024-01-13"/>
    <s v="ORD0528"/>
    <x v="2"/>
    <x v="0"/>
    <x v="3"/>
    <n v="13346.22"/>
    <n v="1224.82"/>
    <n v="1509"/>
  </r>
  <r>
    <s v="2024-07-01"/>
    <s v="ORD0529"/>
    <x v="0"/>
    <x v="1"/>
    <x v="14"/>
    <n v="28618.97"/>
    <n v="5805.15"/>
    <n v="1703"/>
  </r>
  <r>
    <s v="2024-03-01"/>
    <s v="ORD0530"/>
    <x v="2"/>
    <x v="2"/>
    <x v="5"/>
    <n v="20725.88"/>
    <n v="5058.24"/>
    <n v="1030"/>
  </r>
  <r>
    <s v="2024-11-01"/>
    <s v="ORD0531"/>
    <x v="3"/>
    <x v="0"/>
    <x v="6"/>
    <n v="21453.24"/>
    <n v="2722.36"/>
    <n v="52"/>
  </r>
  <r>
    <s v="2024-11-17"/>
    <s v="ORD0532"/>
    <x v="0"/>
    <x v="3"/>
    <x v="7"/>
    <n v="10170.64"/>
    <n v="771.69"/>
    <n v="1330"/>
  </r>
  <r>
    <s v="2024-08-24"/>
    <s v="ORD0533"/>
    <x v="3"/>
    <x v="1"/>
    <x v="4"/>
    <n v="33843.03"/>
    <n v="3486.61"/>
    <n v="1782"/>
  </r>
  <r>
    <s v="2024-10-22"/>
    <s v="ORD0534"/>
    <x v="0"/>
    <x v="1"/>
    <x v="4"/>
    <n v="31029"/>
    <n v="5203.72"/>
    <n v="1425"/>
  </r>
  <r>
    <s v="2024-01-11"/>
    <s v="ORD0535"/>
    <x v="0"/>
    <x v="1"/>
    <x v="2"/>
    <n v="24107.67"/>
    <n v="5188.97"/>
    <n v="1767"/>
  </r>
  <r>
    <s v="2024-11-04"/>
    <s v="ORD0536"/>
    <x v="1"/>
    <x v="3"/>
    <x v="7"/>
    <n v="863.92"/>
    <n v="105.26"/>
    <n v="1885"/>
  </r>
  <r>
    <s v="2024-04-30"/>
    <s v="ORD0537"/>
    <x v="0"/>
    <x v="2"/>
    <x v="5"/>
    <n v="5463.68"/>
    <n v="467.13"/>
    <n v="1958"/>
  </r>
  <r>
    <s v="2024-03-26"/>
    <s v="ORD0538"/>
    <x v="2"/>
    <x v="3"/>
    <x v="9"/>
    <n v="17605.259999999998"/>
    <n v="1249.6199999999999"/>
    <n v="192"/>
  </r>
  <r>
    <s v="2024-11-20"/>
    <s v="ORD0539"/>
    <x v="2"/>
    <x v="3"/>
    <x v="8"/>
    <n v="5846.29"/>
    <n v="504.18"/>
    <n v="243"/>
  </r>
  <r>
    <s v="2024-07-19"/>
    <s v="ORD0540"/>
    <x v="3"/>
    <x v="2"/>
    <x v="13"/>
    <n v="11414.29"/>
    <n v="1540.06"/>
    <n v="131"/>
  </r>
  <r>
    <s v="2024-11-19"/>
    <s v="ORD0541"/>
    <x v="0"/>
    <x v="3"/>
    <x v="7"/>
    <n v="36454.639999999999"/>
    <n v="2192.56"/>
    <n v="1003"/>
  </r>
  <r>
    <s v="2024-06-27"/>
    <s v="ORD0542"/>
    <x v="0"/>
    <x v="3"/>
    <x v="7"/>
    <n v="18590.36"/>
    <n v="1195.54"/>
    <n v="734"/>
  </r>
  <r>
    <s v="2024-05-27"/>
    <s v="ORD0543"/>
    <x v="3"/>
    <x v="0"/>
    <x v="3"/>
    <n v="37975.660000000003"/>
    <n v="4076.66"/>
    <n v="1537"/>
  </r>
  <r>
    <s v="2024-11-10"/>
    <s v="ORD0544"/>
    <x v="1"/>
    <x v="0"/>
    <x v="0"/>
    <n v="44507.23"/>
    <n v="8736.24"/>
    <n v="312"/>
  </r>
  <r>
    <s v="2024-09-30"/>
    <s v="ORD0545"/>
    <x v="0"/>
    <x v="1"/>
    <x v="2"/>
    <n v="12082.82"/>
    <n v="2063.23"/>
    <n v="1429"/>
  </r>
  <r>
    <s v="2024-04-01"/>
    <s v="ORD0546"/>
    <x v="2"/>
    <x v="3"/>
    <x v="7"/>
    <n v="14562.76"/>
    <n v="1449.95"/>
    <n v="173"/>
  </r>
  <r>
    <s v="2024-12-08"/>
    <s v="ORD0547"/>
    <x v="2"/>
    <x v="3"/>
    <x v="9"/>
    <n v="22016.03"/>
    <n v="2537.2199999999998"/>
    <n v="161"/>
  </r>
  <r>
    <s v="2024-11-15"/>
    <s v="ORD0548"/>
    <x v="0"/>
    <x v="3"/>
    <x v="9"/>
    <n v="26489.16"/>
    <n v="3927.15"/>
    <n v="1195"/>
  </r>
  <r>
    <s v="2024-08-12"/>
    <s v="ORD0549"/>
    <x v="3"/>
    <x v="3"/>
    <x v="7"/>
    <n v="41442.99"/>
    <n v="4830.66"/>
    <n v="1675"/>
  </r>
  <r>
    <s v="2024-10-18"/>
    <s v="ORD0550"/>
    <x v="2"/>
    <x v="3"/>
    <x v="15"/>
    <n v="7304.22"/>
    <n v="847.21"/>
    <n v="1738"/>
  </r>
  <r>
    <s v="2024-06-17"/>
    <s v="ORD0551"/>
    <x v="1"/>
    <x v="1"/>
    <x v="14"/>
    <n v="46031.55"/>
    <n v="3504.41"/>
    <n v="1211"/>
  </r>
  <r>
    <s v="2024-06-15"/>
    <s v="ORD0552"/>
    <x v="0"/>
    <x v="1"/>
    <x v="14"/>
    <n v="826.37"/>
    <n v="70.599999999999994"/>
    <n v="624"/>
  </r>
  <r>
    <s v="2024-08-28"/>
    <s v="ORD0553"/>
    <x v="0"/>
    <x v="0"/>
    <x v="1"/>
    <n v="39770.99"/>
    <n v="8971.57"/>
    <n v="1387"/>
  </r>
  <r>
    <s v="2024-10-29"/>
    <s v="ORD0554"/>
    <x v="2"/>
    <x v="2"/>
    <x v="13"/>
    <n v="36655.160000000003"/>
    <n v="7807.27"/>
    <n v="1770"/>
  </r>
  <r>
    <s v="2024-11-20"/>
    <s v="ORD0555"/>
    <x v="0"/>
    <x v="3"/>
    <x v="9"/>
    <n v="39669.06"/>
    <n v="4055.51"/>
    <n v="712"/>
  </r>
  <r>
    <s v="2024-01-23"/>
    <s v="ORD0556"/>
    <x v="2"/>
    <x v="2"/>
    <x v="12"/>
    <n v="44171.88"/>
    <n v="3219.97"/>
    <n v="1644"/>
  </r>
  <r>
    <s v="2024-02-10"/>
    <s v="ORD0557"/>
    <x v="0"/>
    <x v="0"/>
    <x v="0"/>
    <n v="34080.82"/>
    <n v="7185.85"/>
    <n v="140"/>
  </r>
  <r>
    <s v="2024-02-22"/>
    <s v="ORD0558"/>
    <x v="2"/>
    <x v="0"/>
    <x v="1"/>
    <n v="9122.4"/>
    <n v="1091.53"/>
    <n v="1134"/>
  </r>
  <r>
    <s v="2024-06-26"/>
    <s v="ORD0559"/>
    <x v="3"/>
    <x v="1"/>
    <x v="11"/>
    <n v="18222.07"/>
    <n v="3143.32"/>
    <n v="1587"/>
  </r>
  <r>
    <s v="2024-09-10"/>
    <s v="ORD0560"/>
    <x v="3"/>
    <x v="0"/>
    <x v="0"/>
    <n v="38903.57"/>
    <n v="5672.39"/>
    <n v="1425"/>
  </r>
  <r>
    <s v="2024-02-02"/>
    <s v="ORD0561"/>
    <x v="2"/>
    <x v="0"/>
    <x v="0"/>
    <n v="39218.230000000003"/>
    <n v="8932.59"/>
    <n v="1290"/>
  </r>
  <r>
    <s v="2024-04-06"/>
    <s v="ORD0562"/>
    <x v="0"/>
    <x v="2"/>
    <x v="10"/>
    <n v="20934.310000000001"/>
    <n v="2121.23"/>
    <n v="1624"/>
  </r>
  <r>
    <s v="2024-05-26"/>
    <s v="ORD0563"/>
    <x v="2"/>
    <x v="1"/>
    <x v="11"/>
    <n v="34180.959999999999"/>
    <n v="5084.99"/>
    <n v="1083"/>
  </r>
  <r>
    <s v="2024-02-11"/>
    <s v="ORD0564"/>
    <x v="2"/>
    <x v="2"/>
    <x v="13"/>
    <n v="37269.089999999997"/>
    <n v="5524.05"/>
    <n v="295"/>
  </r>
  <r>
    <s v="2024-03-08"/>
    <s v="ORD0565"/>
    <x v="0"/>
    <x v="1"/>
    <x v="4"/>
    <n v="33633.81"/>
    <n v="3846.94"/>
    <n v="462"/>
  </r>
  <r>
    <s v="2024-06-30"/>
    <s v="ORD0566"/>
    <x v="3"/>
    <x v="2"/>
    <x v="10"/>
    <n v="16402.060000000001"/>
    <n v="1637.97"/>
    <n v="140"/>
  </r>
  <r>
    <s v="2024-08-11"/>
    <s v="ORD0567"/>
    <x v="2"/>
    <x v="1"/>
    <x v="14"/>
    <n v="18443.52"/>
    <n v="1239.1199999999999"/>
    <n v="47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5448A3-8ABB-42A5-B414-834EC8BB0934}" name="PivotTable12" cacheId="22"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56">
  <location ref="A3:B21" firstHeaderRow="2" firstDataRow="2" firstDataCol="1"/>
  <pivotFields count="8">
    <pivotField compact="0" outline="0" showAll="0"/>
    <pivotField compact="0" outline="0" showAll="0"/>
    <pivotField compact="0" outline="0" showAll="0">
      <items count="5">
        <item x="3"/>
        <item x="0"/>
        <item x="2"/>
        <item x="1"/>
        <item t="default"/>
      </items>
    </pivotField>
    <pivotField compact="0" outline="0" showAll="0"/>
    <pivotField axis="axisRow" compact="0" outline="0" showAll="0">
      <items count="17">
        <item x="11"/>
        <item x="9"/>
        <item x="4"/>
        <item x="7"/>
        <item x="15"/>
        <item x="5"/>
        <item x="0"/>
        <item x="1"/>
        <item x="13"/>
        <item x="14"/>
        <item x="6"/>
        <item x="12"/>
        <item x="2"/>
        <item x="8"/>
        <item x="10"/>
        <item x="3"/>
        <item t="default"/>
      </items>
    </pivotField>
    <pivotField compact="0" outline="0" showAll="0"/>
    <pivotField compact="0" outline="0" showAll="0"/>
    <pivotField dataField="1" compact="0" outline="0" subtotalTop="0" showAll="0"/>
  </pivotFields>
  <rowFields count="1">
    <field x="4"/>
  </rowFields>
  <rowItems count="17">
    <i>
      <x/>
    </i>
    <i>
      <x v="1"/>
    </i>
    <i>
      <x v="2"/>
    </i>
    <i>
      <x v="3"/>
    </i>
    <i>
      <x v="4"/>
    </i>
    <i>
      <x v="5"/>
    </i>
    <i>
      <x v="6"/>
    </i>
    <i>
      <x v="7"/>
    </i>
    <i>
      <x v="8"/>
    </i>
    <i>
      <x v="9"/>
    </i>
    <i>
      <x v="10"/>
    </i>
    <i>
      <x v="11"/>
    </i>
    <i>
      <x v="12"/>
    </i>
    <i>
      <x v="13"/>
    </i>
    <i>
      <x v="14"/>
    </i>
    <i>
      <x v="15"/>
    </i>
    <i t="grand">
      <x/>
    </i>
  </rowItems>
  <colItems count="1">
    <i/>
  </colItems>
  <dataFields count="1">
    <dataField name="Sum of Unit Price" fld="7" baseField="0" baseItem="0"/>
  </dataFields>
  <chartFormats count="17">
    <chartFormat chart="55" format="120" series="1">
      <pivotArea type="data" outline="0" fieldPosition="0">
        <references count="1">
          <reference field="4294967294" count="1" selected="0">
            <x v="0"/>
          </reference>
        </references>
      </pivotArea>
    </chartFormat>
    <chartFormat chart="55" format="121">
      <pivotArea type="data" outline="0" fieldPosition="0">
        <references count="2">
          <reference field="4294967294" count="1" selected="0">
            <x v="0"/>
          </reference>
          <reference field="4" count="1" selected="0">
            <x v="0"/>
          </reference>
        </references>
      </pivotArea>
    </chartFormat>
    <chartFormat chart="55" format="122">
      <pivotArea type="data" outline="0" fieldPosition="0">
        <references count="2">
          <reference field="4294967294" count="1" selected="0">
            <x v="0"/>
          </reference>
          <reference field="4" count="1" selected="0">
            <x v="1"/>
          </reference>
        </references>
      </pivotArea>
    </chartFormat>
    <chartFormat chart="55" format="123">
      <pivotArea type="data" outline="0" fieldPosition="0">
        <references count="2">
          <reference field="4294967294" count="1" selected="0">
            <x v="0"/>
          </reference>
          <reference field="4" count="1" selected="0">
            <x v="2"/>
          </reference>
        </references>
      </pivotArea>
    </chartFormat>
    <chartFormat chart="55" format="124">
      <pivotArea type="data" outline="0" fieldPosition="0">
        <references count="2">
          <reference field="4294967294" count="1" selected="0">
            <x v="0"/>
          </reference>
          <reference field="4" count="1" selected="0">
            <x v="3"/>
          </reference>
        </references>
      </pivotArea>
    </chartFormat>
    <chartFormat chart="55" format="125">
      <pivotArea type="data" outline="0" fieldPosition="0">
        <references count="2">
          <reference field="4294967294" count="1" selected="0">
            <x v="0"/>
          </reference>
          <reference field="4" count="1" selected="0">
            <x v="4"/>
          </reference>
        </references>
      </pivotArea>
    </chartFormat>
    <chartFormat chart="55" format="126">
      <pivotArea type="data" outline="0" fieldPosition="0">
        <references count="2">
          <reference field="4294967294" count="1" selected="0">
            <x v="0"/>
          </reference>
          <reference field="4" count="1" selected="0">
            <x v="5"/>
          </reference>
        </references>
      </pivotArea>
    </chartFormat>
    <chartFormat chart="55" format="127">
      <pivotArea type="data" outline="0" fieldPosition="0">
        <references count="2">
          <reference field="4294967294" count="1" selected="0">
            <x v="0"/>
          </reference>
          <reference field="4" count="1" selected="0">
            <x v="6"/>
          </reference>
        </references>
      </pivotArea>
    </chartFormat>
    <chartFormat chart="55" format="128">
      <pivotArea type="data" outline="0" fieldPosition="0">
        <references count="2">
          <reference field="4294967294" count="1" selected="0">
            <x v="0"/>
          </reference>
          <reference field="4" count="1" selected="0">
            <x v="7"/>
          </reference>
        </references>
      </pivotArea>
    </chartFormat>
    <chartFormat chart="55" format="129">
      <pivotArea type="data" outline="0" fieldPosition="0">
        <references count="2">
          <reference field="4294967294" count="1" selected="0">
            <x v="0"/>
          </reference>
          <reference field="4" count="1" selected="0">
            <x v="8"/>
          </reference>
        </references>
      </pivotArea>
    </chartFormat>
    <chartFormat chart="55" format="130">
      <pivotArea type="data" outline="0" fieldPosition="0">
        <references count="2">
          <reference field="4294967294" count="1" selected="0">
            <x v="0"/>
          </reference>
          <reference field="4" count="1" selected="0">
            <x v="9"/>
          </reference>
        </references>
      </pivotArea>
    </chartFormat>
    <chartFormat chart="55" format="131">
      <pivotArea type="data" outline="0" fieldPosition="0">
        <references count="2">
          <reference field="4294967294" count="1" selected="0">
            <x v="0"/>
          </reference>
          <reference field="4" count="1" selected="0">
            <x v="10"/>
          </reference>
        </references>
      </pivotArea>
    </chartFormat>
    <chartFormat chart="55" format="132">
      <pivotArea type="data" outline="0" fieldPosition="0">
        <references count="2">
          <reference field="4294967294" count="1" selected="0">
            <x v="0"/>
          </reference>
          <reference field="4" count="1" selected="0">
            <x v="11"/>
          </reference>
        </references>
      </pivotArea>
    </chartFormat>
    <chartFormat chart="55" format="133">
      <pivotArea type="data" outline="0" fieldPosition="0">
        <references count="2">
          <reference field="4294967294" count="1" selected="0">
            <x v="0"/>
          </reference>
          <reference field="4" count="1" selected="0">
            <x v="12"/>
          </reference>
        </references>
      </pivotArea>
    </chartFormat>
    <chartFormat chart="55" format="134">
      <pivotArea type="data" outline="0" fieldPosition="0">
        <references count="2">
          <reference field="4294967294" count="1" selected="0">
            <x v="0"/>
          </reference>
          <reference field="4" count="1" selected="0">
            <x v="13"/>
          </reference>
        </references>
      </pivotArea>
    </chartFormat>
    <chartFormat chart="55" format="135">
      <pivotArea type="data" outline="0" fieldPosition="0">
        <references count="2">
          <reference field="4294967294" count="1" selected="0">
            <x v="0"/>
          </reference>
          <reference field="4" count="1" selected="0">
            <x v="14"/>
          </reference>
        </references>
      </pivotArea>
    </chartFormat>
    <chartFormat chart="55" format="136">
      <pivotArea type="data" outline="0" fieldPosition="0">
        <references count="2">
          <reference field="4294967294" count="1" selected="0">
            <x v="0"/>
          </reference>
          <reference field="4" count="1" selected="0">
            <x v="1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8E0C27-D23A-4077-B706-458552948B64}" name="PivotTable11" cacheId="22"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D24:E42" firstHeaderRow="2" firstDataRow="2" firstDataCol="1"/>
  <pivotFields count="8">
    <pivotField compact="0" outline="0" showAll="0"/>
    <pivotField compact="0" outline="0" showAll="0"/>
    <pivotField compact="0" outline="0" showAll="0"/>
    <pivotField compact="0" outline="0" showAll="0"/>
    <pivotField axis="axisRow" compact="0" outline="0" showAll="0" sortType="descending">
      <items count="17">
        <item x="11"/>
        <item x="9"/>
        <item x="4"/>
        <item x="7"/>
        <item x="15"/>
        <item x="5"/>
        <item x="0"/>
        <item x="1"/>
        <item x="13"/>
        <item x="14"/>
        <item x="6"/>
        <item x="12"/>
        <item x="2"/>
        <item x="8"/>
        <item x="10"/>
        <item x="3"/>
        <item t="default"/>
      </items>
      <autoSortScope>
        <pivotArea dataOnly="0" outline="0" fieldPosition="0">
          <references count="1">
            <reference field="4294967294" count="1" selected="0">
              <x v="0"/>
            </reference>
          </references>
        </pivotArea>
      </autoSortScope>
    </pivotField>
    <pivotField dataField="1" compact="0" outline="0" showAll="0"/>
    <pivotField compact="0" outline="0" showAll="0"/>
    <pivotField compact="0" outline="0" subtotalTop="0" showAll="0"/>
  </pivotFields>
  <rowFields count="1">
    <field x="4"/>
  </rowFields>
  <rowItems count="17">
    <i>
      <x/>
    </i>
    <i>
      <x v="7"/>
    </i>
    <i>
      <x v="3"/>
    </i>
    <i>
      <x v="2"/>
    </i>
    <i>
      <x v="6"/>
    </i>
    <i>
      <x v="8"/>
    </i>
    <i>
      <x v="1"/>
    </i>
    <i>
      <x v="4"/>
    </i>
    <i>
      <x v="9"/>
    </i>
    <i>
      <x v="14"/>
    </i>
    <i>
      <x v="5"/>
    </i>
    <i>
      <x v="11"/>
    </i>
    <i>
      <x v="15"/>
    </i>
    <i>
      <x v="10"/>
    </i>
    <i>
      <x v="12"/>
    </i>
    <i>
      <x v="13"/>
    </i>
    <i t="grand">
      <x/>
    </i>
  </rowItems>
  <colItems count="1">
    <i/>
  </colItems>
  <dataFields count="1">
    <dataField name="Sum of Sales_Amoun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098093-A050-4CB7-9806-363A08DBE226}" name="PivotTable10" cacheId="22"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D13:E19" firstHeaderRow="2" firstDataRow="2" firstDataCol="1"/>
  <pivotFields count="8">
    <pivotField compact="0" outline="0" showAll="0"/>
    <pivotField compact="0" outline="0" showAll="0"/>
    <pivotField compact="0" outline="0" showAll="0"/>
    <pivotField axis="axisRow" compact="0" outline="0" showAll="0">
      <items count="5">
        <item x="0"/>
        <item x="2"/>
        <item x="3"/>
        <item x="1"/>
        <item t="default"/>
      </items>
    </pivotField>
    <pivotField compact="0" outline="0" showAll="0">
      <items count="17">
        <item x="11"/>
        <item x="9"/>
        <item x="4"/>
        <item x="7"/>
        <item x="15"/>
        <item x="5"/>
        <item x="0"/>
        <item x="1"/>
        <item x="13"/>
        <item x="14"/>
        <item x="6"/>
        <item x="12"/>
        <item x="2"/>
        <item x="8"/>
        <item x="10"/>
        <item x="3"/>
        <item t="default"/>
      </items>
    </pivotField>
    <pivotField compact="0" outline="0" showAll="0"/>
    <pivotField dataField="1" compact="0" outline="0" showAll="0"/>
    <pivotField compact="0" outline="0" subtotalTop="0" showAll="0"/>
  </pivotFields>
  <rowFields count="1">
    <field x="3"/>
  </rowFields>
  <rowItems count="5">
    <i>
      <x/>
    </i>
    <i>
      <x v="1"/>
    </i>
    <i>
      <x v="2"/>
    </i>
    <i>
      <x v="3"/>
    </i>
    <i t="grand">
      <x/>
    </i>
  </rowItems>
  <colItems count="1">
    <i/>
  </colItems>
  <dataFields count="1">
    <dataField name="Sum of Profi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9A871A-E677-4795-9703-62575CF2551E}" name="PivotTable9" cacheId="22"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6">
  <location ref="D3:E9" firstHeaderRow="2" firstDataRow="2" firstDataCol="1"/>
  <pivotFields count="8">
    <pivotField compact="0" outline="0" showAll="0"/>
    <pivotField compact="0" outline="0" showAll="0"/>
    <pivotField axis="axisRow" compact="0" outline="0" showAll="0">
      <items count="5">
        <item x="3"/>
        <item x="0"/>
        <item x="2"/>
        <item x="1"/>
        <item t="default"/>
      </items>
    </pivotField>
    <pivotField compact="0" outline="0" showAll="0"/>
    <pivotField compact="0" outline="0" showAll="0">
      <items count="17">
        <item x="11"/>
        <item x="9"/>
        <item x="4"/>
        <item x="7"/>
        <item x="15"/>
        <item x="5"/>
        <item x="0"/>
        <item x="1"/>
        <item x="13"/>
        <item x="14"/>
        <item x="6"/>
        <item x="12"/>
        <item x="2"/>
        <item x="8"/>
        <item x="10"/>
        <item x="3"/>
        <item t="default"/>
      </items>
    </pivotField>
    <pivotField dataField="1" compact="0" outline="0" showAll="0"/>
    <pivotField compact="0" outline="0" showAll="0"/>
    <pivotField compact="0" outline="0" subtotalTop="0" showAll="0"/>
  </pivotFields>
  <rowFields count="1">
    <field x="2"/>
  </rowFields>
  <rowItems count="5">
    <i>
      <x/>
    </i>
    <i>
      <x v="1"/>
    </i>
    <i>
      <x v="2"/>
    </i>
    <i>
      <x v="3"/>
    </i>
    <i t="grand">
      <x/>
    </i>
  </rowItems>
  <colItems count="1">
    <i/>
  </colItems>
  <dataFields count="1">
    <dataField name="Sum of Sales_Amount" fld="5" baseField="0" baseItem="0"/>
  </dataFields>
  <chartFormats count="1">
    <chartFormat chart="25"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00807F9F-4E9D-4A33-9ADD-33764A2C2C5E}" sourceName="Product_Name">
  <pivotTables>
    <pivotTable tabId="3" name="PivotTable12"/>
    <pivotTable tabId="3" name="PivotTable10"/>
    <pivotTable tabId="3" name="PivotTable11"/>
    <pivotTable tabId="3" name="PivotTable9"/>
  </pivotTables>
  <data>
    <tabular pivotCacheId="80269127">
      <items count="16">
        <i x="11" s="1"/>
        <i x="9" s="1"/>
        <i x="4" s="1"/>
        <i x="7" s="1"/>
        <i x="15" s="1"/>
        <i x="5" s="1"/>
        <i x="0" s="1"/>
        <i x="1" s="1"/>
        <i x="13" s="1"/>
        <i x="14" s="1"/>
        <i x="6" s="1"/>
        <i x="12" s="1"/>
        <i x="2" s="1"/>
        <i x="8" s="1"/>
        <i x="1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xr10:uid="{F2434782-1CF1-4861-9D70-5E114E01507D}" cache="Slicer_Product_Name" caption="Product_Name"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3031F3-0BA9-4112-B1E9-085613B4B628}" name="Table1" displayName="Table1" ref="A1:H568" totalsRowShown="0" headerRowDxfId="1" dataDxfId="2">
  <autoFilter ref="A1:H568" xr:uid="{323031F3-0BA9-4112-B1E9-085613B4B628}"/>
  <tableColumns count="8">
    <tableColumn id="1" xr3:uid="{BECA0E73-6991-4671-AF6D-B165A88D185A}" name="Date" dataDxfId="9"/>
    <tableColumn id="2" xr3:uid="{FE6CDB19-D018-4A0C-943F-B5F9C7751EC9}" name="Order_ID" dataDxfId="8"/>
    <tableColumn id="3" xr3:uid="{D77E7534-CC06-4254-B354-D79ECEA7E18D}" name="Region" dataDxfId="7"/>
    <tableColumn id="4" xr3:uid="{18DA2699-AC8B-4DE8-91FA-E7BF920F5FCC}" name="Product_Category" dataDxfId="6"/>
    <tableColumn id="5" xr3:uid="{0BF70BF3-913C-4DA1-BA4B-4C24A0AF7118}" name="Product_Name" dataDxfId="5"/>
    <tableColumn id="6" xr3:uid="{684DC9C7-627F-45D5-933F-B6AE98237732}" name="Sales_Amount" dataDxfId="4"/>
    <tableColumn id="7" xr3:uid="{C42AA771-7D7B-4BE2-9B0A-DCCA9879AAB4}" name="Profit" dataDxfId="3"/>
    <tableColumn id="9" xr3:uid="{4A4F9517-FE9B-47AA-A394-7911624DC203}" name="Unit Price"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EEE18-F8CB-4E8A-A7A9-6AF59DF89389}">
  <dimension ref="A2:H42"/>
  <sheetViews>
    <sheetView topLeftCell="A3" zoomScale="78" workbookViewId="0">
      <selection activeCell="E18" sqref="E18"/>
    </sheetView>
  </sheetViews>
  <sheetFormatPr defaultRowHeight="14.5" x14ac:dyDescent="0.35"/>
  <cols>
    <col min="1" max="1" width="18.08984375" bestFit="1" customWidth="1"/>
    <col min="2" max="2" width="7.26953125" bestFit="1" customWidth="1"/>
    <col min="3" max="3" width="15.26953125" bestFit="1" customWidth="1"/>
    <col min="4" max="4" width="20.1796875" bestFit="1" customWidth="1"/>
    <col min="5" max="5" width="11.453125" bestFit="1" customWidth="1"/>
    <col min="6" max="6" width="10.81640625" bestFit="1" customWidth="1"/>
    <col min="7" max="7" width="10.7265625" bestFit="1" customWidth="1"/>
  </cols>
  <sheetData>
    <row r="2" spans="1:8" x14ac:dyDescent="0.35">
      <c r="A2" s="4" t="s">
        <v>900</v>
      </c>
      <c r="B2" s="4"/>
      <c r="D2" s="4" t="s">
        <v>896</v>
      </c>
      <c r="E2" s="4"/>
    </row>
    <row r="3" spans="1:8" x14ac:dyDescent="0.35">
      <c r="A3" s="2" t="s">
        <v>901</v>
      </c>
      <c r="D3" s="2" t="s">
        <v>897</v>
      </c>
    </row>
    <row r="4" spans="1:8" x14ac:dyDescent="0.35">
      <c r="A4" s="2" t="s">
        <v>4</v>
      </c>
      <c r="B4" t="s">
        <v>895</v>
      </c>
      <c r="D4" s="2" t="s">
        <v>2</v>
      </c>
      <c r="E4" t="s">
        <v>895</v>
      </c>
    </row>
    <row r="5" spans="1:8" x14ac:dyDescent="0.35">
      <c r="A5" t="s">
        <v>61</v>
      </c>
      <c r="B5" s="3">
        <v>50140</v>
      </c>
      <c r="D5" t="s">
        <v>60</v>
      </c>
      <c r="E5" s="3">
        <v>3431340.1299999994</v>
      </c>
    </row>
    <row r="6" spans="1:8" x14ac:dyDescent="0.35">
      <c r="A6" t="s">
        <v>50</v>
      </c>
      <c r="B6" s="3">
        <v>36094</v>
      </c>
      <c r="D6" t="s">
        <v>9</v>
      </c>
      <c r="E6" s="3">
        <v>3738736.4500000011</v>
      </c>
    </row>
    <row r="7" spans="1:8" x14ac:dyDescent="0.35">
      <c r="A7" t="s">
        <v>25</v>
      </c>
      <c r="B7" s="3">
        <v>36650</v>
      </c>
      <c r="D7" t="s">
        <v>30</v>
      </c>
      <c r="E7" s="3">
        <v>3539461.7899999996</v>
      </c>
    </row>
    <row r="8" spans="1:8" x14ac:dyDescent="0.35">
      <c r="A8" t="s">
        <v>44</v>
      </c>
      <c r="B8" s="3">
        <v>47256</v>
      </c>
      <c r="D8" t="s">
        <v>17</v>
      </c>
      <c r="E8" s="3">
        <v>3836871.53</v>
      </c>
    </row>
    <row r="9" spans="1:8" x14ac:dyDescent="0.35">
      <c r="A9" t="s">
        <v>111</v>
      </c>
      <c r="B9" s="3">
        <v>35451</v>
      </c>
      <c r="D9" t="s">
        <v>893</v>
      </c>
      <c r="E9" s="3">
        <v>14546409.899999999</v>
      </c>
    </row>
    <row r="10" spans="1:8" x14ac:dyDescent="0.35">
      <c r="A10" t="s">
        <v>32</v>
      </c>
      <c r="B10" s="3">
        <v>35708</v>
      </c>
    </row>
    <row r="11" spans="1:8" x14ac:dyDescent="0.35">
      <c r="A11" t="s">
        <v>11</v>
      </c>
      <c r="B11" s="3">
        <v>30448</v>
      </c>
    </row>
    <row r="12" spans="1:8" x14ac:dyDescent="0.35">
      <c r="A12" t="s">
        <v>14</v>
      </c>
      <c r="B12" s="3">
        <v>47685</v>
      </c>
      <c r="D12" s="4" t="s">
        <v>3</v>
      </c>
      <c r="E12" s="4"/>
    </row>
    <row r="13" spans="1:8" x14ac:dyDescent="0.35">
      <c r="A13" t="s">
        <v>77</v>
      </c>
      <c r="B13" s="3">
        <v>33962</v>
      </c>
      <c r="D13" s="2" t="s">
        <v>894</v>
      </c>
    </row>
    <row r="14" spans="1:8" x14ac:dyDescent="0.35">
      <c r="A14" t="s">
        <v>92</v>
      </c>
      <c r="B14" s="3">
        <v>32566</v>
      </c>
      <c r="D14" s="2" t="s">
        <v>3</v>
      </c>
      <c r="E14" t="s">
        <v>895</v>
      </c>
    </row>
    <row r="15" spans="1:8" x14ac:dyDescent="0.35">
      <c r="A15" t="s">
        <v>40</v>
      </c>
      <c r="B15" s="3">
        <v>22427</v>
      </c>
      <c r="D15" t="s">
        <v>10</v>
      </c>
      <c r="E15" s="3">
        <v>584401.53999999969</v>
      </c>
      <c r="G15" t="s">
        <v>10</v>
      </c>
      <c r="H15" s="3">
        <v>584401.53999999969</v>
      </c>
    </row>
    <row r="16" spans="1:8" x14ac:dyDescent="0.35">
      <c r="A16" t="s">
        <v>74</v>
      </c>
      <c r="B16" s="3">
        <v>27542</v>
      </c>
      <c r="D16" t="s">
        <v>31</v>
      </c>
      <c r="E16" s="3">
        <v>528752.22000000009</v>
      </c>
      <c r="G16" t="s">
        <v>31</v>
      </c>
      <c r="H16" s="3">
        <v>528752.22000000009</v>
      </c>
    </row>
    <row r="17" spans="1:8" x14ac:dyDescent="0.35">
      <c r="A17" t="s">
        <v>19</v>
      </c>
      <c r="B17" s="3">
        <v>28357</v>
      </c>
      <c r="D17" t="s">
        <v>43</v>
      </c>
      <c r="E17" s="3">
        <v>531880.68000000005</v>
      </c>
      <c r="G17" t="s">
        <v>43</v>
      </c>
      <c r="H17" s="3">
        <v>531880.68000000005</v>
      </c>
    </row>
    <row r="18" spans="1:8" x14ac:dyDescent="0.35">
      <c r="A18" t="s">
        <v>47</v>
      </c>
      <c r="B18" s="3">
        <v>28817</v>
      </c>
      <c r="D18" t="s">
        <v>18</v>
      </c>
      <c r="E18" s="3">
        <v>562056.62999999989</v>
      </c>
      <c r="G18" t="s">
        <v>18</v>
      </c>
      <c r="H18" s="3">
        <v>562056.62999999989</v>
      </c>
    </row>
    <row r="19" spans="1:8" x14ac:dyDescent="0.35">
      <c r="A19" t="s">
        <v>53</v>
      </c>
      <c r="B19" s="3">
        <v>38865</v>
      </c>
      <c r="D19" t="s">
        <v>893</v>
      </c>
      <c r="E19" s="3">
        <v>2207091.0699999998</v>
      </c>
      <c r="G19" s="6" t="s">
        <v>893</v>
      </c>
      <c r="H19" s="7">
        <v>2207091.0699999998</v>
      </c>
    </row>
    <row r="20" spans="1:8" x14ac:dyDescent="0.35">
      <c r="A20" t="s">
        <v>22</v>
      </c>
      <c r="B20" s="3">
        <v>31524</v>
      </c>
    </row>
    <row r="21" spans="1:8" x14ac:dyDescent="0.35">
      <c r="A21" t="s">
        <v>893</v>
      </c>
      <c r="B21" s="3">
        <v>563492</v>
      </c>
    </row>
    <row r="23" spans="1:8" x14ac:dyDescent="0.35">
      <c r="D23" s="4" t="s">
        <v>898</v>
      </c>
      <c r="E23" s="4"/>
    </row>
    <row r="24" spans="1:8" x14ac:dyDescent="0.35">
      <c r="D24" s="2" t="s">
        <v>897</v>
      </c>
    </row>
    <row r="25" spans="1:8" x14ac:dyDescent="0.35">
      <c r="D25" s="2" t="s">
        <v>4</v>
      </c>
      <c r="E25" t="s">
        <v>895</v>
      </c>
    </row>
    <row r="26" spans="1:8" x14ac:dyDescent="0.35">
      <c r="D26" t="s">
        <v>61</v>
      </c>
      <c r="E26" s="3">
        <v>1281172.3500000006</v>
      </c>
      <c r="G26" t="str">
        <f>D26</f>
        <v>Beverages</v>
      </c>
      <c r="H26">
        <f>E26</f>
        <v>1281172.3500000006</v>
      </c>
    </row>
    <row r="27" spans="1:8" x14ac:dyDescent="0.35">
      <c r="D27" t="s">
        <v>14</v>
      </c>
      <c r="E27" s="3">
        <v>1274292.2399999998</v>
      </c>
      <c r="G27" t="str">
        <f t="shared" ref="G27:H42" si="0">D27</f>
        <v>Jeans</v>
      </c>
      <c r="H27">
        <f t="shared" si="0"/>
        <v>1274292.2399999998</v>
      </c>
    </row>
    <row r="28" spans="1:8" x14ac:dyDescent="0.35">
      <c r="D28" t="s">
        <v>44</v>
      </c>
      <c r="E28" s="3">
        <v>1132349.07</v>
      </c>
      <c r="G28" t="str">
        <f t="shared" si="0"/>
        <v>Cupboard</v>
      </c>
      <c r="H28">
        <f t="shared" si="0"/>
        <v>1132349.07</v>
      </c>
    </row>
    <row r="29" spans="1:8" x14ac:dyDescent="0.35">
      <c r="D29" t="s">
        <v>25</v>
      </c>
      <c r="E29" s="3">
        <v>1073171.2000000002</v>
      </c>
      <c r="G29" t="str">
        <f t="shared" si="0"/>
        <v>Cooking Oil</v>
      </c>
      <c r="H29">
        <f t="shared" si="0"/>
        <v>1073171.2000000002</v>
      </c>
    </row>
    <row r="30" spans="1:8" x14ac:dyDescent="0.35">
      <c r="D30" t="s">
        <v>11</v>
      </c>
      <c r="E30" s="3">
        <v>986228.48999999976</v>
      </c>
      <c r="G30" t="str">
        <f t="shared" si="0"/>
        <v>Jacket</v>
      </c>
      <c r="H30">
        <f t="shared" si="0"/>
        <v>986228.48999999976</v>
      </c>
    </row>
    <row r="31" spans="1:8" x14ac:dyDescent="0.35">
      <c r="D31" t="s">
        <v>77</v>
      </c>
      <c r="E31" s="3">
        <v>977726.89999999991</v>
      </c>
      <c r="G31" t="str">
        <f t="shared" si="0"/>
        <v>Laptop</v>
      </c>
      <c r="H31">
        <f t="shared" si="0"/>
        <v>977726.89999999991</v>
      </c>
    </row>
    <row r="32" spans="1:8" x14ac:dyDescent="0.35">
      <c r="D32" t="s">
        <v>50</v>
      </c>
      <c r="E32" s="3">
        <v>960157.50999999978</v>
      </c>
      <c r="G32" t="str">
        <f t="shared" si="0"/>
        <v>Chair</v>
      </c>
      <c r="H32">
        <f t="shared" si="0"/>
        <v>960157.50999999978</v>
      </c>
    </row>
    <row r="33" spans="4:8" x14ac:dyDescent="0.35">
      <c r="D33" t="s">
        <v>111</v>
      </c>
      <c r="E33" s="3">
        <v>945196.7899999998</v>
      </c>
      <c r="G33" t="str">
        <f t="shared" si="0"/>
        <v>Desk</v>
      </c>
      <c r="H33">
        <f t="shared" si="0"/>
        <v>945196.7899999998</v>
      </c>
    </row>
    <row r="34" spans="4:8" x14ac:dyDescent="0.35">
      <c r="D34" t="s">
        <v>92</v>
      </c>
      <c r="E34" s="3">
        <v>888173.94000000018</v>
      </c>
      <c r="G34" t="str">
        <f t="shared" si="0"/>
        <v>Rice Bag</v>
      </c>
      <c r="H34">
        <f t="shared" si="0"/>
        <v>888173.94000000018</v>
      </c>
    </row>
    <row r="35" spans="4:8" x14ac:dyDescent="0.35">
      <c r="D35" t="s">
        <v>53</v>
      </c>
      <c r="E35" s="3">
        <v>870666.58000000019</v>
      </c>
      <c r="G35" t="str">
        <f t="shared" si="0"/>
        <v>Tablet</v>
      </c>
      <c r="H35">
        <f t="shared" si="0"/>
        <v>870666.58000000019</v>
      </c>
    </row>
    <row r="36" spans="4:8" x14ac:dyDescent="0.35">
      <c r="D36" t="s">
        <v>32</v>
      </c>
      <c r="E36" s="3">
        <v>812550.68</v>
      </c>
      <c r="G36" t="str">
        <f t="shared" si="0"/>
        <v>Headphones</v>
      </c>
      <c r="H36">
        <f t="shared" si="0"/>
        <v>812550.68</v>
      </c>
    </row>
    <row r="37" spans="4:8" x14ac:dyDescent="0.35">
      <c r="D37" t="s">
        <v>74</v>
      </c>
      <c r="E37" s="3">
        <v>808971.91</v>
      </c>
      <c r="G37" t="str">
        <f t="shared" si="0"/>
        <v>Smartphone</v>
      </c>
      <c r="H37">
        <f t="shared" si="0"/>
        <v>808971.91</v>
      </c>
    </row>
    <row r="38" spans="4:8" x14ac:dyDescent="0.35">
      <c r="D38" t="s">
        <v>22</v>
      </c>
      <c r="E38" s="3">
        <v>722231.15999999992</v>
      </c>
      <c r="G38" t="str">
        <f>D38</f>
        <v>T-Shirt</v>
      </c>
      <c r="H38">
        <f>E38</f>
        <v>722231.15999999992</v>
      </c>
    </row>
    <row r="39" spans="4:8" x14ac:dyDescent="0.35">
      <c r="D39" t="s">
        <v>40</v>
      </c>
      <c r="E39" s="3">
        <v>687713.53</v>
      </c>
      <c r="G39" t="str">
        <f t="shared" si="0"/>
        <v>Shoes</v>
      </c>
      <c r="H39">
        <f t="shared" si="0"/>
        <v>687713.53</v>
      </c>
    </row>
    <row r="40" spans="4:8" x14ac:dyDescent="0.35">
      <c r="D40" t="s">
        <v>19</v>
      </c>
      <c r="E40" s="3">
        <v>573228.85000000009</v>
      </c>
      <c r="G40" t="str">
        <f t="shared" si="0"/>
        <v>Snacks Pack</v>
      </c>
      <c r="H40">
        <f t="shared" si="0"/>
        <v>573228.85000000009</v>
      </c>
    </row>
    <row r="41" spans="4:8" x14ac:dyDescent="0.35">
      <c r="D41" t="s">
        <v>47</v>
      </c>
      <c r="E41" s="3">
        <v>552578.70000000007</v>
      </c>
      <c r="G41" t="str">
        <f t="shared" si="0"/>
        <v>Table</v>
      </c>
      <c r="H41">
        <f t="shared" si="0"/>
        <v>552578.70000000007</v>
      </c>
    </row>
    <row r="42" spans="4:8" x14ac:dyDescent="0.35">
      <c r="D42" t="s">
        <v>893</v>
      </c>
      <c r="E42" s="3">
        <v>14546409.899999999</v>
      </c>
      <c r="G42" t="str">
        <f t="shared" si="0"/>
        <v>Grand Total</v>
      </c>
      <c r="H42">
        <f t="shared" si="0"/>
        <v>14546409.899999999</v>
      </c>
    </row>
  </sheetData>
  <mergeCells count="4">
    <mergeCell ref="A2:B2"/>
    <mergeCell ref="D2:E2"/>
    <mergeCell ref="D12:E12"/>
    <mergeCell ref="D23:E2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7D275-31BC-4984-AF6C-67DD9DFAB210}">
  <dimension ref="AT28"/>
  <sheetViews>
    <sheetView showGridLines="0" tabSelected="1" topLeftCell="D37" zoomScale="34" zoomScaleNormal="63" workbookViewId="0">
      <selection activeCell="AZ58" sqref="AZ58"/>
    </sheetView>
  </sheetViews>
  <sheetFormatPr defaultRowHeight="14.5" x14ac:dyDescent="0.35"/>
  <sheetData>
    <row r="28" spans="46:46" x14ac:dyDescent="0.35">
      <c r="AT28"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68"/>
  <sheetViews>
    <sheetView zoomScale="86" workbookViewId="0">
      <selection activeCell="G10" sqref="G10"/>
    </sheetView>
  </sheetViews>
  <sheetFormatPr defaultRowHeight="14.5" x14ac:dyDescent="0.35"/>
  <cols>
    <col min="1" max="1" width="15.54296875" customWidth="1"/>
    <col min="2" max="2" width="15.453125" customWidth="1"/>
    <col min="3" max="3" width="13.81640625" customWidth="1"/>
    <col min="4" max="4" width="18.90625" customWidth="1"/>
    <col min="5" max="5" width="17.7265625" customWidth="1"/>
    <col min="6" max="6" width="15.90625" customWidth="1"/>
    <col min="7" max="7" width="16.90625" customWidth="1"/>
    <col min="8" max="8" width="14.453125" bestFit="1" customWidth="1"/>
  </cols>
  <sheetData>
    <row r="1" spans="1:8" x14ac:dyDescent="0.35">
      <c r="A1" s="1" t="s">
        <v>0</v>
      </c>
      <c r="B1" s="1" t="s">
        <v>1</v>
      </c>
      <c r="C1" s="1" t="s">
        <v>2</v>
      </c>
      <c r="D1" s="1" t="s">
        <v>3</v>
      </c>
      <c r="E1" s="1" t="s">
        <v>4</v>
      </c>
      <c r="F1" s="1" t="s">
        <v>5</v>
      </c>
      <c r="G1" s="1" t="s">
        <v>6</v>
      </c>
      <c r="H1" s="5" t="s">
        <v>899</v>
      </c>
    </row>
    <row r="2" spans="1:8" x14ac:dyDescent="0.35">
      <c r="A2" s="1" t="s">
        <v>7</v>
      </c>
      <c r="B2" s="1" t="s">
        <v>8</v>
      </c>
      <c r="C2" s="1" t="s">
        <v>9</v>
      </c>
      <c r="D2" s="1" t="s">
        <v>10</v>
      </c>
      <c r="E2" s="1" t="s">
        <v>11</v>
      </c>
      <c r="F2" s="1">
        <v>33760.639999999999</v>
      </c>
      <c r="G2" s="1">
        <v>2218.5300000000002</v>
      </c>
      <c r="H2" s="1">
        <v>1911</v>
      </c>
    </row>
    <row r="3" spans="1:8" x14ac:dyDescent="0.35">
      <c r="A3" s="1" t="s">
        <v>12</v>
      </c>
      <c r="B3" s="1" t="s">
        <v>13</v>
      </c>
      <c r="C3" s="1" t="s">
        <v>9</v>
      </c>
      <c r="D3" s="1" t="s">
        <v>10</v>
      </c>
      <c r="E3" s="1" t="s">
        <v>14</v>
      </c>
      <c r="F3" s="1">
        <v>16144.25</v>
      </c>
      <c r="G3" s="1">
        <v>2526.54</v>
      </c>
      <c r="H3" s="1">
        <v>1836</v>
      </c>
    </row>
    <row r="4" spans="1:8" x14ac:dyDescent="0.35">
      <c r="A4" s="1" t="s">
        <v>15</v>
      </c>
      <c r="B4" s="1" t="s">
        <v>16</v>
      </c>
      <c r="C4" s="1" t="s">
        <v>17</v>
      </c>
      <c r="D4" s="1" t="s">
        <v>18</v>
      </c>
      <c r="E4" s="1" t="s">
        <v>19</v>
      </c>
      <c r="F4" s="1">
        <v>4774.2700000000004</v>
      </c>
      <c r="G4" s="1">
        <v>794.61</v>
      </c>
      <c r="H4" s="1">
        <v>1746</v>
      </c>
    </row>
    <row r="5" spans="1:8" x14ac:dyDescent="0.35">
      <c r="A5" s="1" t="s">
        <v>20</v>
      </c>
      <c r="B5" s="1" t="s">
        <v>21</v>
      </c>
      <c r="C5" s="1" t="s">
        <v>9</v>
      </c>
      <c r="D5" s="1" t="s">
        <v>10</v>
      </c>
      <c r="E5" s="1" t="s">
        <v>22</v>
      </c>
      <c r="F5" s="1">
        <v>46299.29</v>
      </c>
      <c r="G5" s="1">
        <v>9452.34</v>
      </c>
      <c r="H5" s="1">
        <v>1025</v>
      </c>
    </row>
    <row r="6" spans="1:8" x14ac:dyDescent="0.35">
      <c r="A6" s="1" t="s">
        <v>23</v>
      </c>
      <c r="B6" s="1" t="s">
        <v>24</v>
      </c>
      <c r="C6" s="1" t="s">
        <v>17</v>
      </c>
      <c r="D6" s="1" t="s">
        <v>18</v>
      </c>
      <c r="E6" s="1" t="s">
        <v>25</v>
      </c>
      <c r="F6" s="1">
        <v>38558.68</v>
      </c>
      <c r="G6" s="1">
        <v>6608.81</v>
      </c>
      <c r="H6" s="1">
        <v>1113</v>
      </c>
    </row>
    <row r="7" spans="1:8" x14ac:dyDescent="0.35">
      <c r="A7" s="1" t="s">
        <v>26</v>
      </c>
      <c r="B7" s="1" t="s">
        <v>27</v>
      </c>
      <c r="C7" s="1" t="s">
        <v>9</v>
      </c>
      <c r="D7" s="1" t="s">
        <v>10</v>
      </c>
      <c r="E7" s="1" t="s">
        <v>11</v>
      </c>
      <c r="F7" s="1">
        <v>42648.62</v>
      </c>
      <c r="G7" s="1">
        <v>3296.92</v>
      </c>
      <c r="H7" s="1">
        <v>381</v>
      </c>
    </row>
    <row r="8" spans="1:8" x14ac:dyDescent="0.35">
      <c r="A8" s="1" t="s">
        <v>28</v>
      </c>
      <c r="B8" s="1" t="s">
        <v>29</v>
      </c>
      <c r="C8" s="1" t="s">
        <v>30</v>
      </c>
      <c r="D8" s="1" t="s">
        <v>31</v>
      </c>
      <c r="E8" s="1" t="s">
        <v>32</v>
      </c>
      <c r="F8" s="1">
        <v>18761.13</v>
      </c>
      <c r="G8" s="1">
        <v>3766.55</v>
      </c>
      <c r="H8" s="1">
        <v>154</v>
      </c>
    </row>
    <row r="9" spans="1:8" x14ac:dyDescent="0.35">
      <c r="A9" s="1" t="s">
        <v>33</v>
      </c>
      <c r="B9" s="1" t="s">
        <v>34</v>
      </c>
      <c r="C9" s="1" t="s">
        <v>9</v>
      </c>
      <c r="D9" s="1" t="s">
        <v>18</v>
      </c>
      <c r="E9" s="1" t="s">
        <v>25</v>
      </c>
      <c r="F9" s="1">
        <v>21421.9</v>
      </c>
      <c r="G9" s="1">
        <v>4425.5200000000004</v>
      </c>
      <c r="H9" s="1">
        <v>296</v>
      </c>
    </row>
    <row r="10" spans="1:8" x14ac:dyDescent="0.35">
      <c r="A10" s="1" t="s">
        <v>12</v>
      </c>
      <c r="B10" s="1" t="s">
        <v>35</v>
      </c>
      <c r="C10" s="1" t="s">
        <v>9</v>
      </c>
      <c r="D10" s="1" t="s">
        <v>18</v>
      </c>
      <c r="E10" s="1" t="s">
        <v>19</v>
      </c>
      <c r="F10" s="1">
        <v>31426.15</v>
      </c>
      <c r="G10" s="1">
        <v>5575.56</v>
      </c>
      <c r="H10" s="1">
        <v>1740</v>
      </c>
    </row>
    <row r="11" spans="1:8" x14ac:dyDescent="0.35">
      <c r="A11" s="1" t="s">
        <v>36</v>
      </c>
      <c r="B11" s="1" t="s">
        <v>37</v>
      </c>
      <c r="C11" s="1" t="s">
        <v>17</v>
      </c>
      <c r="D11" s="1" t="s">
        <v>10</v>
      </c>
      <c r="E11" s="1" t="s">
        <v>14</v>
      </c>
      <c r="F11" s="1">
        <v>37757.910000000003</v>
      </c>
      <c r="G11" s="1">
        <v>3505.02</v>
      </c>
      <c r="H11" s="1">
        <v>1426</v>
      </c>
    </row>
    <row r="12" spans="1:8" x14ac:dyDescent="0.35">
      <c r="A12" s="1" t="s">
        <v>38</v>
      </c>
      <c r="B12" s="1" t="s">
        <v>39</v>
      </c>
      <c r="C12" s="1" t="s">
        <v>30</v>
      </c>
      <c r="D12" s="1" t="s">
        <v>10</v>
      </c>
      <c r="E12" s="1" t="s">
        <v>40</v>
      </c>
      <c r="F12" s="1">
        <v>10494.62</v>
      </c>
      <c r="G12" s="1">
        <v>1628.61</v>
      </c>
      <c r="H12" s="1">
        <v>1145</v>
      </c>
    </row>
    <row r="13" spans="1:8" x14ac:dyDescent="0.35">
      <c r="A13" s="1" t="s">
        <v>41</v>
      </c>
      <c r="B13" s="1" t="s">
        <v>42</v>
      </c>
      <c r="C13" s="1" t="s">
        <v>9</v>
      </c>
      <c r="D13" s="1" t="s">
        <v>43</v>
      </c>
      <c r="E13" s="1" t="s">
        <v>44</v>
      </c>
      <c r="F13" s="1">
        <v>41160.300000000003</v>
      </c>
      <c r="G13" s="1">
        <v>7824.96</v>
      </c>
      <c r="H13" s="1">
        <v>1492</v>
      </c>
    </row>
    <row r="14" spans="1:8" x14ac:dyDescent="0.35">
      <c r="A14" s="1" t="s">
        <v>45</v>
      </c>
      <c r="B14" s="1" t="s">
        <v>46</v>
      </c>
      <c r="C14" s="1" t="s">
        <v>30</v>
      </c>
      <c r="D14" s="1" t="s">
        <v>43</v>
      </c>
      <c r="E14" s="1" t="s">
        <v>47</v>
      </c>
      <c r="F14" s="1">
        <v>16203.14</v>
      </c>
      <c r="G14" s="1">
        <v>1287.76</v>
      </c>
      <c r="H14" s="1">
        <v>495</v>
      </c>
    </row>
    <row r="15" spans="1:8" x14ac:dyDescent="0.35">
      <c r="A15" s="1" t="s">
        <v>48</v>
      </c>
      <c r="B15" s="1" t="s">
        <v>49</v>
      </c>
      <c r="C15" s="1" t="s">
        <v>9</v>
      </c>
      <c r="D15" s="1" t="s">
        <v>43</v>
      </c>
      <c r="E15" s="1" t="s">
        <v>50</v>
      </c>
      <c r="F15" s="1">
        <v>32819.85</v>
      </c>
      <c r="G15" s="1">
        <v>7608.56</v>
      </c>
      <c r="H15" s="1">
        <v>1766</v>
      </c>
    </row>
    <row r="16" spans="1:8" x14ac:dyDescent="0.35">
      <c r="A16" s="1" t="s">
        <v>51</v>
      </c>
      <c r="B16" s="1" t="s">
        <v>52</v>
      </c>
      <c r="C16" s="1" t="s">
        <v>17</v>
      </c>
      <c r="D16" s="1" t="s">
        <v>31</v>
      </c>
      <c r="E16" s="1" t="s">
        <v>53</v>
      </c>
      <c r="F16" s="1">
        <v>37273.29</v>
      </c>
      <c r="G16" s="1">
        <v>9064.3799999999992</v>
      </c>
      <c r="H16" s="1">
        <v>1693</v>
      </c>
    </row>
    <row r="17" spans="1:8" x14ac:dyDescent="0.35">
      <c r="A17" s="1" t="s">
        <v>54</v>
      </c>
      <c r="B17" s="1" t="s">
        <v>55</v>
      </c>
      <c r="C17" s="1" t="s">
        <v>9</v>
      </c>
      <c r="D17" s="1" t="s">
        <v>10</v>
      </c>
      <c r="E17" s="1" t="s">
        <v>22</v>
      </c>
      <c r="F17" s="1">
        <v>21302.47</v>
      </c>
      <c r="G17" s="1">
        <v>3858.87</v>
      </c>
      <c r="H17" s="1">
        <v>1924</v>
      </c>
    </row>
    <row r="18" spans="1:8" x14ac:dyDescent="0.35">
      <c r="A18" s="1" t="s">
        <v>56</v>
      </c>
      <c r="B18" s="1" t="s">
        <v>57</v>
      </c>
      <c r="C18" s="1" t="s">
        <v>17</v>
      </c>
      <c r="D18" s="1" t="s">
        <v>10</v>
      </c>
      <c r="E18" s="1" t="s">
        <v>40</v>
      </c>
      <c r="F18" s="1">
        <v>17523.189999999999</v>
      </c>
      <c r="G18" s="1">
        <v>1142.1400000000001</v>
      </c>
      <c r="H18" s="1">
        <v>814</v>
      </c>
    </row>
    <row r="19" spans="1:8" x14ac:dyDescent="0.35">
      <c r="A19" s="1" t="s">
        <v>58</v>
      </c>
      <c r="B19" s="1" t="s">
        <v>59</v>
      </c>
      <c r="C19" s="1" t="s">
        <v>60</v>
      </c>
      <c r="D19" s="1" t="s">
        <v>18</v>
      </c>
      <c r="E19" s="1" t="s">
        <v>61</v>
      </c>
      <c r="F19" s="1">
        <v>26087.42</v>
      </c>
      <c r="G19" s="1">
        <v>5171.95</v>
      </c>
      <c r="H19" s="1">
        <v>942</v>
      </c>
    </row>
    <row r="20" spans="1:8" x14ac:dyDescent="0.35">
      <c r="A20" s="1" t="s">
        <v>62</v>
      </c>
      <c r="B20" s="1" t="s">
        <v>63</v>
      </c>
      <c r="C20" s="1" t="s">
        <v>60</v>
      </c>
      <c r="D20" s="1" t="s">
        <v>10</v>
      </c>
      <c r="E20" s="1" t="s">
        <v>22</v>
      </c>
      <c r="F20" s="1">
        <v>2190.7600000000002</v>
      </c>
      <c r="G20" s="1">
        <v>458.87</v>
      </c>
      <c r="H20" s="1">
        <v>1892</v>
      </c>
    </row>
    <row r="21" spans="1:8" x14ac:dyDescent="0.35">
      <c r="A21" s="1" t="s">
        <v>64</v>
      </c>
      <c r="B21" s="1" t="s">
        <v>65</v>
      </c>
      <c r="C21" s="1" t="s">
        <v>30</v>
      </c>
      <c r="D21" s="1" t="s">
        <v>43</v>
      </c>
      <c r="E21" s="1" t="s">
        <v>47</v>
      </c>
      <c r="F21" s="1">
        <v>26515.02</v>
      </c>
      <c r="G21" s="1">
        <v>3189.89</v>
      </c>
      <c r="H21" s="1">
        <v>674</v>
      </c>
    </row>
    <row r="22" spans="1:8" x14ac:dyDescent="0.35">
      <c r="A22" s="1" t="s">
        <v>66</v>
      </c>
      <c r="B22" s="1" t="s">
        <v>67</v>
      </c>
      <c r="C22" s="1" t="s">
        <v>17</v>
      </c>
      <c r="D22" s="1" t="s">
        <v>31</v>
      </c>
      <c r="E22" s="1" t="s">
        <v>32</v>
      </c>
      <c r="F22" s="1">
        <v>28214.97</v>
      </c>
      <c r="G22" s="1">
        <v>6683.09</v>
      </c>
      <c r="H22" s="1">
        <v>1164</v>
      </c>
    </row>
    <row r="23" spans="1:8" x14ac:dyDescent="0.35">
      <c r="A23" s="1" t="s">
        <v>68</v>
      </c>
      <c r="B23" s="1" t="s">
        <v>69</v>
      </c>
      <c r="C23" s="1" t="s">
        <v>17</v>
      </c>
      <c r="D23" s="1" t="s">
        <v>10</v>
      </c>
      <c r="E23" s="1" t="s">
        <v>11</v>
      </c>
      <c r="F23" s="1">
        <v>23719.4</v>
      </c>
      <c r="G23" s="1">
        <v>5692.42</v>
      </c>
      <c r="H23" s="1">
        <v>30</v>
      </c>
    </row>
    <row r="24" spans="1:8" x14ac:dyDescent="0.35">
      <c r="A24" s="1" t="s">
        <v>70</v>
      </c>
      <c r="B24" s="1" t="s">
        <v>71</v>
      </c>
      <c r="C24" s="1" t="s">
        <v>17</v>
      </c>
      <c r="D24" s="1" t="s">
        <v>43</v>
      </c>
      <c r="E24" s="1" t="s">
        <v>44</v>
      </c>
      <c r="F24" s="1">
        <v>13616.41</v>
      </c>
      <c r="G24" s="1">
        <v>3067.53</v>
      </c>
      <c r="H24" s="1">
        <v>476</v>
      </c>
    </row>
    <row r="25" spans="1:8" x14ac:dyDescent="0.35">
      <c r="A25" s="1" t="s">
        <v>72</v>
      </c>
      <c r="B25" s="1" t="s">
        <v>73</v>
      </c>
      <c r="C25" s="1" t="s">
        <v>17</v>
      </c>
      <c r="D25" s="1" t="s">
        <v>31</v>
      </c>
      <c r="E25" s="1" t="s">
        <v>74</v>
      </c>
      <c r="F25" s="1">
        <v>2423.6</v>
      </c>
      <c r="G25" s="1">
        <v>474.44</v>
      </c>
      <c r="H25" s="1">
        <v>1583</v>
      </c>
    </row>
    <row r="26" spans="1:8" x14ac:dyDescent="0.35">
      <c r="A26" s="1" t="s">
        <v>75</v>
      </c>
      <c r="B26" s="1" t="s">
        <v>76</v>
      </c>
      <c r="C26" s="1" t="s">
        <v>9</v>
      </c>
      <c r="D26" s="1" t="s">
        <v>31</v>
      </c>
      <c r="E26" s="1" t="s">
        <v>77</v>
      </c>
      <c r="F26" s="1">
        <v>37860.47</v>
      </c>
      <c r="G26" s="1">
        <v>4246.75</v>
      </c>
      <c r="H26" s="1">
        <v>163</v>
      </c>
    </row>
    <row r="27" spans="1:8" x14ac:dyDescent="0.35">
      <c r="A27" s="1" t="s">
        <v>78</v>
      </c>
      <c r="B27" s="1" t="s">
        <v>79</v>
      </c>
      <c r="C27" s="1" t="s">
        <v>60</v>
      </c>
      <c r="D27" s="1" t="s">
        <v>10</v>
      </c>
      <c r="E27" s="1" t="s">
        <v>14</v>
      </c>
      <c r="F27" s="1">
        <v>29775.24</v>
      </c>
      <c r="G27" s="1">
        <v>4488.8500000000004</v>
      </c>
      <c r="H27" s="1">
        <v>1118</v>
      </c>
    </row>
    <row r="28" spans="1:8" x14ac:dyDescent="0.35">
      <c r="A28" s="1" t="s">
        <v>80</v>
      </c>
      <c r="B28" s="1" t="s">
        <v>81</v>
      </c>
      <c r="C28" s="1" t="s">
        <v>30</v>
      </c>
      <c r="D28" s="1" t="s">
        <v>43</v>
      </c>
      <c r="E28" s="1" t="s">
        <v>47</v>
      </c>
      <c r="F28" s="1">
        <v>5176.46</v>
      </c>
      <c r="G28" s="1">
        <v>1014.08</v>
      </c>
      <c r="H28" s="1">
        <v>1412</v>
      </c>
    </row>
    <row r="29" spans="1:8" x14ac:dyDescent="0.35">
      <c r="A29" s="1" t="s">
        <v>82</v>
      </c>
      <c r="B29" s="1" t="s">
        <v>83</v>
      </c>
      <c r="C29" s="1" t="s">
        <v>30</v>
      </c>
      <c r="D29" s="1" t="s">
        <v>31</v>
      </c>
      <c r="E29" s="1" t="s">
        <v>32</v>
      </c>
      <c r="F29" s="1">
        <v>34306.32</v>
      </c>
      <c r="G29" s="1">
        <v>3907.43</v>
      </c>
      <c r="H29" s="1">
        <v>1425</v>
      </c>
    </row>
    <row r="30" spans="1:8" x14ac:dyDescent="0.35">
      <c r="A30" s="1" t="s">
        <v>84</v>
      </c>
      <c r="B30" s="1" t="s">
        <v>85</v>
      </c>
      <c r="C30" s="1" t="s">
        <v>30</v>
      </c>
      <c r="D30" s="1" t="s">
        <v>31</v>
      </c>
      <c r="E30" s="1" t="s">
        <v>32</v>
      </c>
      <c r="F30" s="1">
        <v>45050.19</v>
      </c>
      <c r="G30" s="1">
        <v>6367.59</v>
      </c>
      <c r="H30" s="1">
        <v>480</v>
      </c>
    </row>
    <row r="31" spans="1:8" x14ac:dyDescent="0.35">
      <c r="A31" s="1" t="s">
        <v>86</v>
      </c>
      <c r="B31" s="1" t="s">
        <v>87</v>
      </c>
      <c r="C31" s="1" t="s">
        <v>9</v>
      </c>
      <c r="D31" s="1" t="s">
        <v>18</v>
      </c>
      <c r="E31" s="1" t="s">
        <v>19</v>
      </c>
      <c r="F31" s="1">
        <v>20673.98</v>
      </c>
      <c r="G31" s="1">
        <v>3472.99</v>
      </c>
      <c r="H31" s="1">
        <v>1227</v>
      </c>
    </row>
    <row r="32" spans="1:8" x14ac:dyDescent="0.35">
      <c r="A32" s="1" t="s">
        <v>88</v>
      </c>
      <c r="B32" s="1" t="s">
        <v>89</v>
      </c>
      <c r="C32" s="1" t="s">
        <v>60</v>
      </c>
      <c r="D32" s="1" t="s">
        <v>43</v>
      </c>
      <c r="E32" s="1" t="s">
        <v>47</v>
      </c>
      <c r="F32" s="1">
        <v>37847.269999999997</v>
      </c>
      <c r="G32" s="1">
        <v>8660.81</v>
      </c>
      <c r="H32" s="1">
        <v>1300</v>
      </c>
    </row>
    <row r="33" spans="1:8" x14ac:dyDescent="0.35">
      <c r="A33" s="1" t="s">
        <v>90</v>
      </c>
      <c r="B33" s="1" t="s">
        <v>91</v>
      </c>
      <c r="C33" s="1" t="s">
        <v>9</v>
      </c>
      <c r="D33" s="1" t="s">
        <v>18</v>
      </c>
      <c r="E33" s="1" t="s">
        <v>92</v>
      </c>
      <c r="F33" s="1">
        <v>49227.34</v>
      </c>
      <c r="G33" s="1">
        <v>4909.6899999999996</v>
      </c>
      <c r="H33" s="1">
        <v>410</v>
      </c>
    </row>
    <row r="34" spans="1:8" x14ac:dyDescent="0.35">
      <c r="A34" s="1" t="s">
        <v>93</v>
      </c>
      <c r="B34" s="1" t="s">
        <v>94</v>
      </c>
      <c r="C34" s="1" t="s">
        <v>60</v>
      </c>
      <c r="D34" s="1" t="s">
        <v>10</v>
      </c>
      <c r="E34" s="1" t="s">
        <v>22</v>
      </c>
      <c r="F34" s="1">
        <v>13803.59</v>
      </c>
      <c r="G34" s="1">
        <v>1430.04</v>
      </c>
      <c r="H34" s="1">
        <v>375</v>
      </c>
    </row>
    <row r="35" spans="1:8" x14ac:dyDescent="0.35">
      <c r="A35" s="1" t="s">
        <v>95</v>
      </c>
      <c r="B35" s="1" t="s">
        <v>96</v>
      </c>
      <c r="C35" s="1" t="s">
        <v>9</v>
      </c>
      <c r="D35" s="1" t="s">
        <v>10</v>
      </c>
      <c r="E35" s="1" t="s">
        <v>11</v>
      </c>
      <c r="F35" s="1">
        <v>43602.3</v>
      </c>
      <c r="G35" s="1">
        <v>8246.2999999999993</v>
      </c>
      <c r="H35" s="1">
        <v>1233</v>
      </c>
    </row>
    <row r="36" spans="1:8" x14ac:dyDescent="0.35">
      <c r="A36" s="1" t="s">
        <v>97</v>
      </c>
      <c r="B36" s="1" t="s">
        <v>98</v>
      </c>
      <c r="C36" s="1" t="s">
        <v>30</v>
      </c>
      <c r="D36" s="1" t="s">
        <v>18</v>
      </c>
      <c r="E36" s="1" t="s">
        <v>92</v>
      </c>
      <c r="F36" s="1">
        <v>5923.19</v>
      </c>
      <c r="G36" s="1">
        <v>582.54</v>
      </c>
      <c r="H36" s="1">
        <v>431</v>
      </c>
    </row>
    <row r="37" spans="1:8" x14ac:dyDescent="0.35">
      <c r="A37" s="1" t="s">
        <v>99</v>
      </c>
      <c r="B37" s="1" t="s">
        <v>100</v>
      </c>
      <c r="C37" s="1" t="s">
        <v>60</v>
      </c>
      <c r="D37" s="1" t="s">
        <v>18</v>
      </c>
      <c r="E37" s="1" t="s">
        <v>61</v>
      </c>
      <c r="F37" s="1">
        <v>30446.99</v>
      </c>
      <c r="G37" s="1">
        <v>1922.35</v>
      </c>
      <c r="H37" s="1">
        <v>798</v>
      </c>
    </row>
    <row r="38" spans="1:8" x14ac:dyDescent="0.35">
      <c r="A38" s="1" t="s">
        <v>26</v>
      </c>
      <c r="B38" s="1" t="s">
        <v>101</v>
      </c>
      <c r="C38" s="1" t="s">
        <v>17</v>
      </c>
      <c r="D38" s="1" t="s">
        <v>43</v>
      </c>
      <c r="E38" s="1" t="s">
        <v>44</v>
      </c>
      <c r="F38" s="1">
        <v>39899.07</v>
      </c>
      <c r="G38" s="1">
        <v>5253.5</v>
      </c>
      <c r="H38" s="1">
        <v>1059</v>
      </c>
    </row>
    <row r="39" spans="1:8" x14ac:dyDescent="0.35">
      <c r="A39" s="1" t="s">
        <v>41</v>
      </c>
      <c r="B39" s="1" t="s">
        <v>102</v>
      </c>
      <c r="C39" s="1" t="s">
        <v>60</v>
      </c>
      <c r="D39" s="1" t="s">
        <v>18</v>
      </c>
      <c r="E39" s="1" t="s">
        <v>92</v>
      </c>
      <c r="F39" s="1">
        <v>3881.4</v>
      </c>
      <c r="G39" s="1">
        <v>884.23</v>
      </c>
      <c r="H39" s="1">
        <v>1778</v>
      </c>
    </row>
    <row r="40" spans="1:8" x14ac:dyDescent="0.35">
      <c r="A40" s="1" t="s">
        <v>103</v>
      </c>
      <c r="B40" s="1" t="s">
        <v>104</v>
      </c>
      <c r="C40" s="1" t="s">
        <v>60</v>
      </c>
      <c r="D40" s="1" t="s">
        <v>10</v>
      </c>
      <c r="E40" s="1" t="s">
        <v>14</v>
      </c>
      <c r="F40" s="1">
        <v>28065.98</v>
      </c>
      <c r="G40" s="1">
        <v>3948.51</v>
      </c>
      <c r="H40" s="1">
        <v>1543</v>
      </c>
    </row>
    <row r="41" spans="1:8" x14ac:dyDescent="0.35">
      <c r="A41" s="1" t="s">
        <v>105</v>
      </c>
      <c r="B41" s="1" t="s">
        <v>106</v>
      </c>
      <c r="C41" s="1" t="s">
        <v>30</v>
      </c>
      <c r="D41" s="1" t="s">
        <v>10</v>
      </c>
      <c r="E41" s="1" t="s">
        <v>11</v>
      </c>
      <c r="F41" s="1">
        <v>33444.58</v>
      </c>
      <c r="G41" s="1">
        <v>7813.69</v>
      </c>
      <c r="H41" s="1">
        <v>648</v>
      </c>
    </row>
    <row r="42" spans="1:8" x14ac:dyDescent="0.35">
      <c r="A42" s="1" t="s">
        <v>107</v>
      </c>
      <c r="B42" s="1" t="s">
        <v>108</v>
      </c>
      <c r="C42" s="1" t="s">
        <v>60</v>
      </c>
      <c r="D42" s="1" t="s">
        <v>43</v>
      </c>
      <c r="E42" s="1" t="s">
        <v>47</v>
      </c>
      <c r="F42" s="1">
        <v>1870.55</v>
      </c>
      <c r="G42" s="1">
        <v>129.08000000000001</v>
      </c>
      <c r="H42" s="1">
        <v>237</v>
      </c>
    </row>
    <row r="43" spans="1:8" x14ac:dyDescent="0.35">
      <c r="A43" s="1" t="s">
        <v>109</v>
      </c>
      <c r="B43" s="1" t="s">
        <v>110</v>
      </c>
      <c r="C43" s="1" t="s">
        <v>60</v>
      </c>
      <c r="D43" s="1" t="s">
        <v>43</v>
      </c>
      <c r="E43" s="1" t="s">
        <v>111</v>
      </c>
      <c r="F43" s="1">
        <v>22357.08</v>
      </c>
      <c r="G43" s="1">
        <v>2824.68</v>
      </c>
      <c r="H43" s="1">
        <v>1537</v>
      </c>
    </row>
    <row r="44" spans="1:8" x14ac:dyDescent="0.35">
      <c r="A44" s="1" t="s">
        <v>112</v>
      </c>
      <c r="B44" s="1" t="s">
        <v>113</v>
      </c>
      <c r="C44" s="1" t="s">
        <v>9</v>
      </c>
      <c r="D44" s="1" t="s">
        <v>18</v>
      </c>
      <c r="E44" s="1" t="s">
        <v>92</v>
      </c>
      <c r="F44" s="1">
        <v>26028.66</v>
      </c>
      <c r="G44" s="1">
        <v>2160.7399999999998</v>
      </c>
      <c r="H44" s="1">
        <v>969</v>
      </c>
    </row>
    <row r="45" spans="1:8" x14ac:dyDescent="0.35">
      <c r="A45" s="1" t="s">
        <v>114</v>
      </c>
      <c r="B45" s="1" t="s">
        <v>115</v>
      </c>
      <c r="C45" s="1" t="s">
        <v>60</v>
      </c>
      <c r="D45" s="1" t="s">
        <v>31</v>
      </c>
      <c r="E45" s="1" t="s">
        <v>32</v>
      </c>
      <c r="F45" s="1">
        <v>42731.24</v>
      </c>
      <c r="G45" s="1">
        <v>7287.86</v>
      </c>
      <c r="H45" s="1">
        <v>824</v>
      </c>
    </row>
    <row r="46" spans="1:8" x14ac:dyDescent="0.35">
      <c r="A46" s="1" t="s">
        <v>116</v>
      </c>
      <c r="B46" s="1" t="s">
        <v>117</v>
      </c>
      <c r="C46" s="1" t="s">
        <v>60</v>
      </c>
      <c r="D46" s="1" t="s">
        <v>43</v>
      </c>
      <c r="E46" s="1" t="s">
        <v>50</v>
      </c>
      <c r="F46" s="1">
        <v>40048.69</v>
      </c>
      <c r="G46" s="1">
        <v>8555.86</v>
      </c>
      <c r="H46" s="1">
        <v>1997</v>
      </c>
    </row>
    <row r="47" spans="1:8" x14ac:dyDescent="0.35">
      <c r="A47" s="1" t="s">
        <v>118</v>
      </c>
      <c r="B47" s="1" t="s">
        <v>119</v>
      </c>
      <c r="C47" s="1" t="s">
        <v>30</v>
      </c>
      <c r="D47" s="1" t="s">
        <v>18</v>
      </c>
      <c r="E47" s="1" t="s">
        <v>61</v>
      </c>
      <c r="F47" s="1">
        <v>43218.54</v>
      </c>
      <c r="G47" s="1">
        <v>10335.290000000001</v>
      </c>
      <c r="H47" s="1">
        <v>1359</v>
      </c>
    </row>
    <row r="48" spans="1:8" x14ac:dyDescent="0.35">
      <c r="A48" s="1" t="s">
        <v>120</v>
      </c>
      <c r="B48" s="1" t="s">
        <v>121</v>
      </c>
      <c r="C48" s="1" t="s">
        <v>30</v>
      </c>
      <c r="D48" s="1" t="s">
        <v>18</v>
      </c>
      <c r="E48" s="1" t="s">
        <v>25</v>
      </c>
      <c r="F48" s="1">
        <v>22737.75</v>
      </c>
      <c r="G48" s="1">
        <v>2244.36</v>
      </c>
      <c r="H48" s="1">
        <v>811</v>
      </c>
    </row>
    <row r="49" spans="1:8" x14ac:dyDescent="0.35">
      <c r="A49" s="1" t="s">
        <v>122</v>
      </c>
      <c r="B49" s="1" t="s">
        <v>123</v>
      </c>
      <c r="C49" s="1" t="s">
        <v>30</v>
      </c>
      <c r="D49" s="1" t="s">
        <v>18</v>
      </c>
      <c r="E49" s="1" t="s">
        <v>92</v>
      </c>
      <c r="F49" s="1">
        <v>5328.41</v>
      </c>
      <c r="G49" s="1">
        <v>355.26</v>
      </c>
      <c r="H49" s="1">
        <v>295</v>
      </c>
    </row>
    <row r="50" spans="1:8" x14ac:dyDescent="0.35">
      <c r="A50" s="1" t="s">
        <v>124</v>
      </c>
      <c r="B50" s="1" t="s">
        <v>125</v>
      </c>
      <c r="C50" s="1" t="s">
        <v>17</v>
      </c>
      <c r="D50" s="1" t="s">
        <v>10</v>
      </c>
      <c r="E50" s="1" t="s">
        <v>11</v>
      </c>
      <c r="F50" s="1">
        <v>31286.97</v>
      </c>
      <c r="G50" s="1">
        <v>2730.49</v>
      </c>
      <c r="H50" s="1">
        <v>487</v>
      </c>
    </row>
    <row r="51" spans="1:8" x14ac:dyDescent="0.35">
      <c r="A51" s="1" t="s">
        <v>126</v>
      </c>
      <c r="B51" s="1" t="s">
        <v>127</v>
      </c>
      <c r="C51" s="1" t="s">
        <v>60</v>
      </c>
      <c r="D51" s="1" t="s">
        <v>31</v>
      </c>
      <c r="E51" s="1" t="s">
        <v>74</v>
      </c>
      <c r="F51" s="1">
        <v>21662.31</v>
      </c>
      <c r="G51" s="1">
        <v>4069.63</v>
      </c>
      <c r="H51" s="1">
        <v>291</v>
      </c>
    </row>
    <row r="52" spans="1:8" x14ac:dyDescent="0.35">
      <c r="A52" s="1" t="s">
        <v>124</v>
      </c>
      <c r="B52" s="1" t="s">
        <v>128</v>
      </c>
      <c r="C52" s="1" t="s">
        <v>30</v>
      </c>
      <c r="D52" s="1" t="s">
        <v>18</v>
      </c>
      <c r="E52" s="1" t="s">
        <v>61</v>
      </c>
      <c r="F52" s="1">
        <v>14452.56</v>
      </c>
      <c r="G52" s="1">
        <v>2003.72</v>
      </c>
      <c r="H52" s="1">
        <v>1126</v>
      </c>
    </row>
    <row r="53" spans="1:8" x14ac:dyDescent="0.35">
      <c r="A53" s="1" t="s">
        <v>129</v>
      </c>
      <c r="B53" s="1" t="s">
        <v>130</v>
      </c>
      <c r="C53" s="1" t="s">
        <v>9</v>
      </c>
      <c r="D53" s="1" t="s">
        <v>18</v>
      </c>
      <c r="E53" s="1" t="s">
        <v>61</v>
      </c>
      <c r="F53" s="1">
        <v>3127.56</v>
      </c>
      <c r="G53" s="1">
        <v>537.77</v>
      </c>
      <c r="H53" s="1">
        <v>142</v>
      </c>
    </row>
    <row r="54" spans="1:8" x14ac:dyDescent="0.35">
      <c r="A54" s="1" t="s">
        <v>131</v>
      </c>
      <c r="B54" s="1" t="s">
        <v>132</v>
      </c>
      <c r="C54" s="1" t="s">
        <v>9</v>
      </c>
      <c r="D54" s="1" t="s">
        <v>31</v>
      </c>
      <c r="E54" s="1" t="s">
        <v>74</v>
      </c>
      <c r="F54" s="1">
        <v>5878.65</v>
      </c>
      <c r="G54" s="1">
        <v>592.41</v>
      </c>
      <c r="H54" s="1">
        <v>98</v>
      </c>
    </row>
    <row r="55" spans="1:8" x14ac:dyDescent="0.35">
      <c r="A55" s="1" t="s">
        <v>133</v>
      </c>
      <c r="B55" s="1" t="s">
        <v>134</v>
      </c>
      <c r="C55" s="1" t="s">
        <v>30</v>
      </c>
      <c r="D55" s="1" t="s">
        <v>31</v>
      </c>
      <c r="E55" s="1" t="s">
        <v>53</v>
      </c>
      <c r="F55" s="1">
        <v>24853.21</v>
      </c>
      <c r="G55" s="1">
        <v>3064.07</v>
      </c>
      <c r="H55" s="1">
        <v>1586</v>
      </c>
    </row>
    <row r="56" spans="1:8" x14ac:dyDescent="0.35">
      <c r="A56" s="1" t="s">
        <v>135</v>
      </c>
      <c r="B56" s="1" t="s">
        <v>136</v>
      </c>
      <c r="C56" s="1" t="s">
        <v>17</v>
      </c>
      <c r="D56" s="1" t="s">
        <v>18</v>
      </c>
      <c r="E56" s="1" t="s">
        <v>19</v>
      </c>
      <c r="F56" s="1">
        <v>13789.47</v>
      </c>
      <c r="G56" s="1">
        <v>1191.1600000000001</v>
      </c>
      <c r="H56" s="1">
        <v>1970</v>
      </c>
    </row>
    <row r="57" spans="1:8" x14ac:dyDescent="0.35">
      <c r="A57" s="1" t="s">
        <v>137</v>
      </c>
      <c r="B57" s="1" t="s">
        <v>138</v>
      </c>
      <c r="C57" s="1" t="s">
        <v>17</v>
      </c>
      <c r="D57" s="1" t="s">
        <v>31</v>
      </c>
      <c r="E57" s="1" t="s">
        <v>77</v>
      </c>
      <c r="F57" s="1">
        <v>47622.97</v>
      </c>
      <c r="G57" s="1">
        <v>6469.84</v>
      </c>
      <c r="H57" s="1">
        <v>1332</v>
      </c>
    </row>
    <row r="58" spans="1:8" x14ac:dyDescent="0.35">
      <c r="A58" s="1" t="s">
        <v>139</v>
      </c>
      <c r="B58" s="1" t="s">
        <v>140</v>
      </c>
      <c r="C58" s="1" t="s">
        <v>60</v>
      </c>
      <c r="D58" s="1" t="s">
        <v>43</v>
      </c>
      <c r="E58" s="1" t="s">
        <v>111</v>
      </c>
      <c r="F58" s="1">
        <v>49148.94</v>
      </c>
      <c r="G58" s="1">
        <v>11666.4</v>
      </c>
      <c r="H58" s="1">
        <v>319</v>
      </c>
    </row>
    <row r="59" spans="1:8" x14ac:dyDescent="0.35">
      <c r="A59" s="1" t="s">
        <v>141</v>
      </c>
      <c r="B59" s="1" t="s">
        <v>142</v>
      </c>
      <c r="C59" s="1" t="s">
        <v>60</v>
      </c>
      <c r="D59" s="1" t="s">
        <v>31</v>
      </c>
      <c r="E59" s="1" t="s">
        <v>53</v>
      </c>
      <c r="F59" s="1">
        <v>5620.55</v>
      </c>
      <c r="G59" s="1">
        <v>1003.79</v>
      </c>
      <c r="H59" s="1">
        <v>11</v>
      </c>
    </row>
    <row r="60" spans="1:8" x14ac:dyDescent="0.35">
      <c r="A60" s="1" t="s">
        <v>143</v>
      </c>
      <c r="B60" s="1" t="s">
        <v>144</v>
      </c>
      <c r="C60" s="1" t="s">
        <v>9</v>
      </c>
      <c r="D60" s="1" t="s">
        <v>31</v>
      </c>
      <c r="E60" s="1" t="s">
        <v>53</v>
      </c>
      <c r="F60" s="1">
        <v>8318.1299999999992</v>
      </c>
      <c r="G60" s="1">
        <v>1213.03</v>
      </c>
      <c r="H60" s="1">
        <v>358</v>
      </c>
    </row>
    <row r="61" spans="1:8" x14ac:dyDescent="0.35">
      <c r="A61" s="1" t="s">
        <v>145</v>
      </c>
      <c r="B61" s="1" t="s">
        <v>146</v>
      </c>
      <c r="C61" s="1" t="s">
        <v>9</v>
      </c>
      <c r="D61" s="1" t="s">
        <v>18</v>
      </c>
      <c r="E61" s="1" t="s">
        <v>19</v>
      </c>
      <c r="F61" s="1">
        <v>4329.21</v>
      </c>
      <c r="G61" s="1">
        <v>407.43</v>
      </c>
      <c r="H61" s="1">
        <v>67</v>
      </c>
    </row>
    <row r="62" spans="1:8" x14ac:dyDescent="0.35">
      <c r="A62" s="1" t="s">
        <v>147</v>
      </c>
      <c r="B62" s="1" t="s">
        <v>148</v>
      </c>
      <c r="C62" s="1" t="s">
        <v>9</v>
      </c>
      <c r="D62" s="1" t="s">
        <v>18</v>
      </c>
      <c r="E62" s="1" t="s">
        <v>61</v>
      </c>
      <c r="F62" s="1">
        <v>20106.599999999999</v>
      </c>
      <c r="G62" s="1">
        <v>1052.82</v>
      </c>
      <c r="H62" s="1">
        <v>1913</v>
      </c>
    </row>
    <row r="63" spans="1:8" x14ac:dyDescent="0.35">
      <c r="A63" s="1" t="s">
        <v>149</v>
      </c>
      <c r="B63" s="1" t="s">
        <v>150</v>
      </c>
      <c r="C63" s="1" t="s">
        <v>60</v>
      </c>
      <c r="D63" s="1" t="s">
        <v>10</v>
      </c>
      <c r="E63" s="1" t="s">
        <v>11</v>
      </c>
      <c r="F63" s="1">
        <v>3549.49</v>
      </c>
      <c r="G63" s="1">
        <v>254.25</v>
      </c>
      <c r="H63" s="1">
        <v>359</v>
      </c>
    </row>
    <row r="64" spans="1:8" x14ac:dyDescent="0.35">
      <c r="A64" s="1" t="s">
        <v>151</v>
      </c>
      <c r="B64" s="1" t="s">
        <v>152</v>
      </c>
      <c r="C64" s="1" t="s">
        <v>17</v>
      </c>
      <c r="D64" s="1" t="s">
        <v>43</v>
      </c>
      <c r="E64" s="1" t="s">
        <v>50</v>
      </c>
      <c r="F64" s="1">
        <v>39259.56</v>
      </c>
      <c r="G64" s="1">
        <v>7808.72</v>
      </c>
      <c r="H64" s="1">
        <v>1520</v>
      </c>
    </row>
    <row r="65" spans="1:8" x14ac:dyDescent="0.35">
      <c r="A65" s="1" t="s">
        <v>153</v>
      </c>
      <c r="B65" s="1" t="s">
        <v>154</v>
      </c>
      <c r="C65" s="1" t="s">
        <v>17</v>
      </c>
      <c r="D65" s="1" t="s">
        <v>18</v>
      </c>
      <c r="E65" s="1" t="s">
        <v>92</v>
      </c>
      <c r="F65" s="1">
        <v>29437.599999999999</v>
      </c>
      <c r="G65" s="1">
        <v>2759.88</v>
      </c>
      <c r="H65" s="1">
        <v>1672</v>
      </c>
    </row>
    <row r="66" spans="1:8" x14ac:dyDescent="0.35">
      <c r="A66" s="1" t="s">
        <v>155</v>
      </c>
      <c r="B66" s="1" t="s">
        <v>156</v>
      </c>
      <c r="C66" s="1" t="s">
        <v>30</v>
      </c>
      <c r="D66" s="1" t="s">
        <v>18</v>
      </c>
      <c r="E66" s="1" t="s">
        <v>61</v>
      </c>
      <c r="F66" s="1">
        <v>35836.870000000003</v>
      </c>
      <c r="G66" s="1">
        <v>7972.98</v>
      </c>
      <c r="H66" s="1">
        <v>178</v>
      </c>
    </row>
    <row r="67" spans="1:8" x14ac:dyDescent="0.35">
      <c r="A67" s="1" t="s">
        <v>157</v>
      </c>
      <c r="B67" s="1" t="s">
        <v>158</v>
      </c>
      <c r="C67" s="1" t="s">
        <v>9</v>
      </c>
      <c r="D67" s="1" t="s">
        <v>43</v>
      </c>
      <c r="E67" s="1" t="s">
        <v>50</v>
      </c>
      <c r="F67" s="1">
        <v>24807.61</v>
      </c>
      <c r="G67" s="1">
        <v>2443.73</v>
      </c>
      <c r="H67" s="1">
        <v>162</v>
      </c>
    </row>
    <row r="68" spans="1:8" x14ac:dyDescent="0.35">
      <c r="A68" s="1" t="s">
        <v>116</v>
      </c>
      <c r="B68" s="1" t="s">
        <v>159</v>
      </c>
      <c r="C68" s="1" t="s">
        <v>17</v>
      </c>
      <c r="D68" s="1" t="s">
        <v>31</v>
      </c>
      <c r="E68" s="1" t="s">
        <v>32</v>
      </c>
      <c r="F68" s="1">
        <v>8586.82</v>
      </c>
      <c r="G68" s="1">
        <v>705.82</v>
      </c>
      <c r="H68" s="1">
        <v>912</v>
      </c>
    </row>
    <row r="69" spans="1:8" x14ac:dyDescent="0.35">
      <c r="A69" s="1" t="s">
        <v>160</v>
      </c>
      <c r="B69" s="1" t="s">
        <v>161</v>
      </c>
      <c r="C69" s="1" t="s">
        <v>30</v>
      </c>
      <c r="D69" s="1" t="s">
        <v>18</v>
      </c>
      <c r="E69" s="1" t="s">
        <v>92</v>
      </c>
      <c r="F69" s="1">
        <v>45707.34</v>
      </c>
      <c r="G69" s="1">
        <v>6048.28</v>
      </c>
      <c r="H69" s="1">
        <v>1115</v>
      </c>
    </row>
    <row r="70" spans="1:8" x14ac:dyDescent="0.35">
      <c r="A70" s="1" t="s">
        <v>162</v>
      </c>
      <c r="B70" s="1" t="s">
        <v>163</v>
      </c>
      <c r="C70" s="1" t="s">
        <v>17</v>
      </c>
      <c r="D70" s="1" t="s">
        <v>10</v>
      </c>
      <c r="E70" s="1" t="s">
        <v>14</v>
      </c>
      <c r="F70" s="1">
        <v>46798.7</v>
      </c>
      <c r="G70" s="1">
        <v>5560.41</v>
      </c>
      <c r="H70" s="1">
        <v>878</v>
      </c>
    </row>
    <row r="71" spans="1:8" x14ac:dyDescent="0.35">
      <c r="A71" s="1" t="s">
        <v>164</v>
      </c>
      <c r="B71" s="1" t="s">
        <v>165</v>
      </c>
      <c r="C71" s="1" t="s">
        <v>17</v>
      </c>
      <c r="D71" s="1" t="s">
        <v>18</v>
      </c>
      <c r="E71" s="1" t="s">
        <v>61</v>
      </c>
      <c r="F71" s="1">
        <v>24986.240000000002</v>
      </c>
      <c r="G71" s="1">
        <v>3758.52</v>
      </c>
      <c r="H71" s="1">
        <v>1856</v>
      </c>
    </row>
    <row r="72" spans="1:8" x14ac:dyDescent="0.35">
      <c r="A72" s="1" t="s">
        <v>166</v>
      </c>
      <c r="B72" s="1" t="s">
        <v>167</v>
      </c>
      <c r="C72" s="1" t="s">
        <v>60</v>
      </c>
      <c r="D72" s="1" t="s">
        <v>31</v>
      </c>
      <c r="E72" s="1" t="s">
        <v>74</v>
      </c>
      <c r="F72" s="1">
        <v>1353.1</v>
      </c>
      <c r="G72" s="1">
        <v>307.07</v>
      </c>
      <c r="H72" s="1">
        <v>1232</v>
      </c>
    </row>
    <row r="73" spans="1:8" x14ac:dyDescent="0.35">
      <c r="A73" s="1" t="s">
        <v>168</v>
      </c>
      <c r="B73" s="1" t="s">
        <v>169</v>
      </c>
      <c r="C73" s="1" t="s">
        <v>9</v>
      </c>
      <c r="D73" s="1" t="s">
        <v>31</v>
      </c>
      <c r="E73" s="1" t="s">
        <v>53</v>
      </c>
      <c r="F73" s="1">
        <v>4815.46</v>
      </c>
      <c r="G73" s="1">
        <v>676.84</v>
      </c>
      <c r="H73" s="1">
        <v>987</v>
      </c>
    </row>
    <row r="74" spans="1:8" x14ac:dyDescent="0.35">
      <c r="A74" s="1" t="s">
        <v>170</v>
      </c>
      <c r="B74" s="1" t="s">
        <v>171</v>
      </c>
      <c r="C74" s="1" t="s">
        <v>60</v>
      </c>
      <c r="D74" s="1" t="s">
        <v>43</v>
      </c>
      <c r="E74" s="1" t="s">
        <v>44</v>
      </c>
      <c r="F74" s="1">
        <v>37875.15</v>
      </c>
      <c r="G74" s="1">
        <v>2488.2399999999998</v>
      </c>
      <c r="H74" s="1">
        <v>973</v>
      </c>
    </row>
    <row r="75" spans="1:8" x14ac:dyDescent="0.35">
      <c r="A75" s="1" t="s">
        <v>172</v>
      </c>
      <c r="B75" s="1" t="s">
        <v>173</v>
      </c>
      <c r="C75" s="1" t="s">
        <v>30</v>
      </c>
      <c r="D75" s="1" t="s">
        <v>10</v>
      </c>
      <c r="E75" s="1" t="s">
        <v>14</v>
      </c>
      <c r="F75" s="1">
        <v>48350.03</v>
      </c>
      <c r="G75" s="1">
        <v>6556.02</v>
      </c>
      <c r="H75" s="1">
        <v>1397</v>
      </c>
    </row>
    <row r="76" spans="1:8" x14ac:dyDescent="0.35">
      <c r="A76" s="1" t="s">
        <v>78</v>
      </c>
      <c r="B76" s="1" t="s">
        <v>174</v>
      </c>
      <c r="C76" s="1" t="s">
        <v>9</v>
      </c>
      <c r="D76" s="1" t="s">
        <v>18</v>
      </c>
      <c r="E76" s="1" t="s">
        <v>19</v>
      </c>
      <c r="F76" s="1">
        <v>14400.1</v>
      </c>
      <c r="G76" s="1">
        <v>2897.53</v>
      </c>
      <c r="H76" s="1">
        <v>240</v>
      </c>
    </row>
    <row r="77" spans="1:8" x14ac:dyDescent="0.35">
      <c r="A77" s="1" t="s">
        <v>175</v>
      </c>
      <c r="B77" s="1" t="s">
        <v>176</v>
      </c>
      <c r="C77" s="1" t="s">
        <v>60</v>
      </c>
      <c r="D77" s="1" t="s">
        <v>18</v>
      </c>
      <c r="E77" s="1" t="s">
        <v>92</v>
      </c>
      <c r="F77" s="1">
        <v>7585.4</v>
      </c>
      <c r="G77" s="1">
        <v>752.57</v>
      </c>
      <c r="H77" s="1">
        <v>374</v>
      </c>
    </row>
    <row r="78" spans="1:8" x14ac:dyDescent="0.35">
      <c r="A78" s="1" t="s">
        <v>177</v>
      </c>
      <c r="B78" s="1" t="s">
        <v>178</v>
      </c>
      <c r="C78" s="1" t="s">
        <v>17</v>
      </c>
      <c r="D78" s="1" t="s">
        <v>18</v>
      </c>
      <c r="E78" s="1" t="s">
        <v>25</v>
      </c>
      <c r="F78" s="1">
        <v>3522.93</v>
      </c>
      <c r="G78" s="1">
        <v>304.05</v>
      </c>
      <c r="H78" s="1">
        <v>1592</v>
      </c>
    </row>
    <row r="79" spans="1:8" x14ac:dyDescent="0.35">
      <c r="A79" s="1" t="s">
        <v>116</v>
      </c>
      <c r="B79" s="1" t="s">
        <v>179</v>
      </c>
      <c r="C79" s="1" t="s">
        <v>60</v>
      </c>
      <c r="D79" s="1" t="s">
        <v>18</v>
      </c>
      <c r="E79" s="1" t="s">
        <v>25</v>
      </c>
      <c r="F79" s="1">
        <v>44727.28</v>
      </c>
      <c r="G79" s="1">
        <v>3873.24</v>
      </c>
      <c r="H79" s="1">
        <v>650</v>
      </c>
    </row>
    <row r="80" spans="1:8" x14ac:dyDescent="0.35">
      <c r="A80" s="1" t="s">
        <v>180</v>
      </c>
      <c r="B80" s="1" t="s">
        <v>181</v>
      </c>
      <c r="C80" s="1" t="s">
        <v>30</v>
      </c>
      <c r="D80" s="1" t="s">
        <v>31</v>
      </c>
      <c r="E80" s="1" t="s">
        <v>77</v>
      </c>
      <c r="F80" s="1">
        <v>20621.53</v>
      </c>
      <c r="G80" s="1">
        <v>3055.64</v>
      </c>
      <c r="H80" s="1">
        <v>468</v>
      </c>
    </row>
    <row r="81" spans="1:8" x14ac:dyDescent="0.35">
      <c r="A81" s="1" t="s">
        <v>182</v>
      </c>
      <c r="B81" s="1" t="s">
        <v>183</v>
      </c>
      <c r="C81" s="1" t="s">
        <v>9</v>
      </c>
      <c r="D81" s="1" t="s">
        <v>31</v>
      </c>
      <c r="E81" s="1" t="s">
        <v>32</v>
      </c>
      <c r="F81" s="1">
        <v>14558.74</v>
      </c>
      <c r="G81" s="1">
        <v>2347.1999999999998</v>
      </c>
      <c r="H81" s="1">
        <v>646</v>
      </c>
    </row>
    <row r="82" spans="1:8" x14ac:dyDescent="0.35">
      <c r="A82" s="1" t="s">
        <v>184</v>
      </c>
      <c r="B82" s="1" t="s">
        <v>185</v>
      </c>
      <c r="C82" s="1" t="s">
        <v>60</v>
      </c>
      <c r="D82" s="1" t="s">
        <v>10</v>
      </c>
      <c r="E82" s="1" t="s">
        <v>40</v>
      </c>
      <c r="F82" s="1">
        <v>12715.04</v>
      </c>
      <c r="G82" s="1">
        <v>837.51</v>
      </c>
      <c r="H82" s="1">
        <v>486</v>
      </c>
    </row>
    <row r="83" spans="1:8" x14ac:dyDescent="0.35">
      <c r="A83" s="1" t="s">
        <v>186</v>
      </c>
      <c r="B83" s="1" t="s">
        <v>187</v>
      </c>
      <c r="C83" s="1" t="s">
        <v>9</v>
      </c>
      <c r="D83" s="1" t="s">
        <v>10</v>
      </c>
      <c r="E83" s="1" t="s">
        <v>14</v>
      </c>
      <c r="F83" s="1">
        <v>43698.54</v>
      </c>
      <c r="G83" s="1">
        <v>7544.33</v>
      </c>
      <c r="H83" s="1">
        <v>459</v>
      </c>
    </row>
    <row r="84" spans="1:8" x14ac:dyDescent="0.35">
      <c r="A84" s="1" t="s">
        <v>188</v>
      </c>
      <c r="B84" s="1" t="s">
        <v>189</v>
      </c>
      <c r="C84" s="1" t="s">
        <v>60</v>
      </c>
      <c r="D84" s="1" t="s">
        <v>10</v>
      </c>
      <c r="E84" s="1" t="s">
        <v>22</v>
      </c>
      <c r="F84" s="1">
        <v>14833.66</v>
      </c>
      <c r="G84" s="1">
        <v>3260.94</v>
      </c>
      <c r="H84" s="1">
        <v>704</v>
      </c>
    </row>
    <row r="85" spans="1:8" x14ac:dyDescent="0.35">
      <c r="A85" s="1" t="s">
        <v>190</v>
      </c>
      <c r="B85" s="1" t="s">
        <v>191</v>
      </c>
      <c r="C85" s="1" t="s">
        <v>9</v>
      </c>
      <c r="D85" s="1" t="s">
        <v>31</v>
      </c>
      <c r="E85" s="1" t="s">
        <v>53</v>
      </c>
      <c r="F85" s="1">
        <v>35585.129999999997</v>
      </c>
      <c r="G85" s="1">
        <v>6980.3</v>
      </c>
      <c r="H85" s="1">
        <v>556</v>
      </c>
    </row>
    <row r="86" spans="1:8" x14ac:dyDescent="0.35">
      <c r="A86" s="1" t="s">
        <v>192</v>
      </c>
      <c r="B86" s="1" t="s">
        <v>193</v>
      </c>
      <c r="C86" s="1" t="s">
        <v>30</v>
      </c>
      <c r="D86" s="1" t="s">
        <v>43</v>
      </c>
      <c r="E86" s="1" t="s">
        <v>44</v>
      </c>
      <c r="F86" s="1">
        <v>17687.349999999999</v>
      </c>
      <c r="G86" s="1">
        <v>3779.05</v>
      </c>
      <c r="H86" s="1">
        <v>1712</v>
      </c>
    </row>
    <row r="87" spans="1:8" x14ac:dyDescent="0.35">
      <c r="A87" s="1" t="s">
        <v>194</v>
      </c>
      <c r="B87" s="1" t="s">
        <v>195</v>
      </c>
      <c r="C87" s="1" t="s">
        <v>60</v>
      </c>
      <c r="D87" s="1" t="s">
        <v>10</v>
      </c>
      <c r="E87" s="1" t="s">
        <v>22</v>
      </c>
      <c r="F87" s="1">
        <v>5296.17</v>
      </c>
      <c r="G87" s="1">
        <v>1081.76</v>
      </c>
      <c r="H87" s="1">
        <v>1917</v>
      </c>
    </row>
    <row r="88" spans="1:8" x14ac:dyDescent="0.35">
      <c r="A88" s="1" t="s">
        <v>196</v>
      </c>
      <c r="B88" s="1" t="s">
        <v>197</v>
      </c>
      <c r="C88" s="1" t="s">
        <v>30</v>
      </c>
      <c r="D88" s="1" t="s">
        <v>43</v>
      </c>
      <c r="E88" s="1" t="s">
        <v>47</v>
      </c>
      <c r="F88" s="1">
        <v>22145.91</v>
      </c>
      <c r="G88" s="1">
        <v>4992.66</v>
      </c>
      <c r="H88" s="1">
        <v>1241</v>
      </c>
    </row>
    <row r="89" spans="1:8" x14ac:dyDescent="0.35">
      <c r="A89" s="1" t="s">
        <v>198</v>
      </c>
      <c r="B89" s="1" t="s">
        <v>199</v>
      </c>
      <c r="C89" s="1" t="s">
        <v>17</v>
      </c>
      <c r="D89" s="1" t="s">
        <v>31</v>
      </c>
      <c r="E89" s="1" t="s">
        <v>74</v>
      </c>
      <c r="F89" s="1">
        <v>5247.92</v>
      </c>
      <c r="G89" s="1">
        <v>501.45</v>
      </c>
      <c r="H89" s="1">
        <v>1148</v>
      </c>
    </row>
    <row r="90" spans="1:8" x14ac:dyDescent="0.35">
      <c r="A90" s="1" t="s">
        <v>200</v>
      </c>
      <c r="B90" s="1" t="s">
        <v>201</v>
      </c>
      <c r="C90" s="1" t="s">
        <v>9</v>
      </c>
      <c r="D90" s="1" t="s">
        <v>31</v>
      </c>
      <c r="E90" s="1" t="s">
        <v>32</v>
      </c>
      <c r="F90" s="1">
        <v>2977.88</v>
      </c>
      <c r="G90" s="1">
        <v>367.09</v>
      </c>
      <c r="H90" s="1">
        <v>1038</v>
      </c>
    </row>
    <row r="91" spans="1:8" x14ac:dyDescent="0.35">
      <c r="A91" s="1" t="s">
        <v>202</v>
      </c>
      <c r="B91" s="1" t="s">
        <v>203</v>
      </c>
      <c r="C91" s="1" t="s">
        <v>60</v>
      </c>
      <c r="D91" s="1" t="s">
        <v>31</v>
      </c>
      <c r="E91" s="1" t="s">
        <v>77</v>
      </c>
      <c r="F91" s="1">
        <v>29193.68</v>
      </c>
      <c r="G91" s="1">
        <v>4351.58</v>
      </c>
      <c r="H91" s="1">
        <v>608</v>
      </c>
    </row>
    <row r="92" spans="1:8" x14ac:dyDescent="0.35">
      <c r="A92" s="1" t="s">
        <v>204</v>
      </c>
      <c r="B92" s="1" t="s">
        <v>205</v>
      </c>
      <c r="C92" s="1" t="s">
        <v>9</v>
      </c>
      <c r="D92" s="1" t="s">
        <v>18</v>
      </c>
      <c r="E92" s="1" t="s">
        <v>92</v>
      </c>
      <c r="F92" s="1">
        <v>8509.66</v>
      </c>
      <c r="G92" s="1">
        <v>1891.11</v>
      </c>
      <c r="H92" s="1">
        <v>1893</v>
      </c>
    </row>
    <row r="93" spans="1:8" x14ac:dyDescent="0.35">
      <c r="A93" s="1" t="s">
        <v>78</v>
      </c>
      <c r="B93" s="1" t="s">
        <v>206</v>
      </c>
      <c r="C93" s="1" t="s">
        <v>9</v>
      </c>
      <c r="D93" s="1" t="s">
        <v>18</v>
      </c>
      <c r="E93" s="1" t="s">
        <v>19</v>
      </c>
      <c r="F93" s="1">
        <v>41558.74</v>
      </c>
      <c r="G93" s="1">
        <v>7464.5</v>
      </c>
      <c r="H93" s="1">
        <v>661</v>
      </c>
    </row>
    <row r="94" spans="1:8" x14ac:dyDescent="0.35">
      <c r="A94" s="1" t="s">
        <v>207</v>
      </c>
      <c r="B94" s="1" t="s">
        <v>208</v>
      </c>
      <c r="C94" s="1" t="s">
        <v>30</v>
      </c>
      <c r="D94" s="1" t="s">
        <v>10</v>
      </c>
      <c r="E94" s="1" t="s">
        <v>14</v>
      </c>
      <c r="F94" s="1">
        <v>49157.47</v>
      </c>
      <c r="G94" s="1">
        <v>7446.04</v>
      </c>
      <c r="H94" s="1">
        <v>1507</v>
      </c>
    </row>
    <row r="95" spans="1:8" x14ac:dyDescent="0.35">
      <c r="A95" s="1" t="s">
        <v>209</v>
      </c>
      <c r="B95" s="1" t="s">
        <v>210</v>
      </c>
      <c r="C95" s="1" t="s">
        <v>60</v>
      </c>
      <c r="D95" s="1" t="s">
        <v>18</v>
      </c>
      <c r="E95" s="1" t="s">
        <v>25</v>
      </c>
      <c r="F95" s="1">
        <v>22872.9</v>
      </c>
      <c r="G95" s="1">
        <v>3421.71</v>
      </c>
      <c r="H95" s="1">
        <v>43</v>
      </c>
    </row>
    <row r="96" spans="1:8" x14ac:dyDescent="0.35">
      <c r="A96" s="1" t="s">
        <v>211</v>
      </c>
      <c r="B96" s="1" t="s">
        <v>212</v>
      </c>
      <c r="C96" s="1" t="s">
        <v>30</v>
      </c>
      <c r="D96" s="1" t="s">
        <v>18</v>
      </c>
      <c r="E96" s="1" t="s">
        <v>25</v>
      </c>
      <c r="F96" s="1">
        <v>38885.629999999997</v>
      </c>
      <c r="G96" s="1">
        <v>3369.84</v>
      </c>
      <c r="H96" s="1">
        <v>838</v>
      </c>
    </row>
    <row r="97" spans="1:8" x14ac:dyDescent="0.35">
      <c r="A97" s="1" t="s">
        <v>213</v>
      </c>
      <c r="B97" s="1" t="s">
        <v>214</v>
      </c>
      <c r="C97" s="1" t="s">
        <v>30</v>
      </c>
      <c r="D97" s="1" t="s">
        <v>43</v>
      </c>
      <c r="E97" s="1" t="s">
        <v>44</v>
      </c>
      <c r="F97" s="1">
        <v>24318.17</v>
      </c>
      <c r="G97" s="1">
        <v>5339.45</v>
      </c>
      <c r="H97" s="1">
        <v>1257</v>
      </c>
    </row>
    <row r="98" spans="1:8" x14ac:dyDescent="0.35">
      <c r="A98" s="1" t="s">
        <v>215</v>
      </c>
      <c r="B98" s="1" t="s">
        <v>216</v>
      </c>
      <c r="C98" s="1" t="s">
        <v>9</v>
      </c>
      <c r="D98" s="1" t="s">
        <v>43</v>
      </c>
      <c r="E98" s="1" t="s">
        <v>47</v>
      </c>
      <c r="F98" s="1">
        <v>5795.85</v>
      </c>
      <c r="G98" s="1">
        <v>1130.24</v>
      </c>
      <c r="H98" s="1">
        <v>1785</v>
      </c>
    </row>
    <row r="99" spans="1:8" x14ac:dyDescent="0.35">
      <c r="A99" s="1" t="s">
        <v>217</v>
      </c>
      <c r="B99" s="1" t="s">
        <v>218</v>
      </c>
      <c r="C99" s="1" t="s">
        <v>60</v>
      </c>
      <c r="D99" s="1" t="s">
        <v>10</v>
      </c>
      <c r="E99" s="1" t="s">
        <v>40</v>
      </c>
      <c r="F99" s="1">
        <v>9442.8799999999992</v>
      </c>
      <c r="G99" s="1">
        <v>1825.88</v>
      </c>
      <c r="H99" s="1">
        <v>1423</v>
      </c>
    </row>
    <row r="100" spans="1:8" x14ac:dyDescent="0.35">
      <c r="A100" s="1" t="s">
        <v>217</v>
      </c>
      <c r="B100" s="1" t="s">
        <v>219</v>
      </c>
      <c r="C100" s="1" t="s">
        <v>30</v>
      </c>
      <c r="D100" s="1" t="s">
        <v>10</v>
      </c>
      <c r="E100" s="1" t="s">
        <v>40</v>
      </c>
      <c r="F100" s="1">
        <v>38167.56</v>
      </c>
      <c r="G100" s="1">
        <v>6757.62</v>
      </c>
      <c r="H100" s="1">
        <v>402</v>
      </c>
    </row>
    <row r="101" spans="1:8" x14ac:dyDescent="0.35">
      <c r="A101" s="1" t="s">
        <v>220</v>
      </c>
      <c r="B101" s="1" t="s">
        <v>221</v>
      </c>
      <c r="C101" s="1" t="s">
        <v>9</v>
      </c>
      <c r="D101" s="1" t="s">
        <v>18</v>
      </c>
      <c r="E101" s="1" t="s">
        <v>25</v>
      </c>
      <c r="F101" s="1">
        <v>33632.01</v>
      </c>
      <c r="G101" s="1">
        <v>4645.41</v>
      </c>
      <c r="H101" s="1">
        <v>442</v>
      </c>
    </row>
    <row r="102" spans="1:8" x14ac:dyDescent="0.35">
      <c r="A102" s="1" t="s">
        <v>222</v>
      </c>
      <c r="B102" s="1" t="s">
        <v>223</v>
      </c>
      <c r="C102" s="1" t="s">
        <v>9</v>
      </c>
      <c r="D102" s="1" t="s">
        <v>43</v>
      </c>
      <c r="E102" s="1" t="s">
        <v>47</v>
      </c>
      <c r="F102" s="1">
        <v>10733.06</v>
      </c>
      <c r="G102" s="1">
        <v>2156.8000000000002</v>
      </c>
      <c r="H102" s="1">
        <v>694</v>
      </c>
    </row>
    <row r="103" spans="1:8" x14ac:dyDescent="0.35">
      <c r="A103" s="1" t="s">
        <v>88</v>
      </c>
      <c r="B103" s="1" t="s">
        <v>224</v>
      </c>
      <c r="C103" s="1" t="s">
        <v>17</v>
      </c>
      <c r="D103" s="1" t="s">
        <v>31</v>
      </c>
      <c r="E103" s="1" t="s">
        <v>32</v>
      </c>
      <c r="F103" s="1">
        <v>30410.74</v>
      </c>
      <c r="G103" s="1">
        <v>4958.47</v>
      </c>
      <c r="H103" s="1">
        <v>1380</v>
      </c>
    </row>
    <row r="104" spans="1:8" x14ac:dyDescent="0.35">
      <c r="A104" s="1" t="s">
        <v>182</v>
      </c>
      <c r="B104" s="1" t="s">
        <v>225</v>
      </c>
      <c r="C104" s="1" t="s">
        <v>9</v>
      </c>
      <c r="D104" s="1" t="s">
        <v>43</v>
      </c>
      <c r="E104" s="1" t="s">
        <v>47</v>
      </c>
      <c r="F104" s="1">
        <v>3200.83</v>
      </c>
      <c r="G104" s="1">
        <v>618.69000000000005</v>
      </c>
      <c r="H104" s="1">
        <v>386</v>
      </c>
    </row>
    <row r="105" spans="1:8" x14ac:dyDescent="0.35">
      <c r="A105" s="1" t="s">
        <v>226</v>
      </c>
      <c r="B105" s="1" t="s">
        <v>227</v>
      </c>
      <c r="C105" s="1" t="s">
        <v>60</v>
      </c>
      <c r="D105" s="1" t="s">
        <v>31</v>
      </c>
      <c r="E105" s="1" t="s">
        <v>74</v>
      </c>
      <c r="F105" s="1">
        <v>47083.83</v>
      </c>
      <c r="G105" s="1">
        <v>7633.13</v>
      </c>
      <c r="H105" s="1">
        <v>896</v>
      </c>
    </row>
    <row r="106" spans="1:8" x14ac:dyDescent="0.35">
      <c r="A106" s="1" t="s">
        <v>228</v>
      </c>
      <c r="B106" s="1" t="s">
        <v>229</v>
      </c>
      <c r="C106" s="1" t="s">
        <v>60</v>
      </c>
      <c r="D106" s="1" t="s">
        <v>43</v>
      </c>
      <c r="E106" s="1" t="s">
        <v>111</v>
      </c>
      <c r="F106" s="1">
        <v>18123.62</v>
      </c>
      <c r="G106" s="1">
        <v>3111.4</v>
      </c>
      <c r="H106" s="1">
        <v>471</v>
      </c>
    </row>
    <row r="107" spans="1:8" x14ac:dyDescent="0.35">
      <c r="A107" s="1" t="s">
        <v>230</v>
      </c>
      <c r="B107" s="1" t="s">
        <v>231</v>
      </c>
      <c r="C107" s="1" t="s">
        <v>30</v>
      </c>
      <c r="D107" s="1" t="s">
        <v>31</v>
      </c>
      <c r="E107" s="1" t="s">
        <v>77</v>
      </c>
      <c r="F107" s="1">
        <v>26371.51</v>
      </c>
      <c r="G107" s="1">
        <v>1536.96</v>
      </c>
      <c r="H107" s="1">
        <v>1409</v>
      </c>
    </row>
    <row r="108" spans="1:8" x14ac:dyDescent="0.35">
      <c r="A108" s="1" t="s">
        <v>217</v>
      </c>
      <c r="B108" s="1" t="s">
        <v>232</v>
      </c>
      <c r="C108" s="1" t="s">
        <v>60</v>
      </c>
      <c r="D108" s="1" t="s">
        <v>18</v>
      </c>
      <c r="E108" s="1" t="s">
        <v>61</v>
      </c>
      <c r="F108" s="1">
        <v>40751.919999999998</v>
      </c>
      <c r="G108" s="1">
        <v>4081.93</v>
      </c>
      <c r="H108" s="1">
        <v>522</v>
      </c>
    </row>
    <row r="109" spans="1:8" x14ac:dyDescent="0.35">
      <c r="A109" s="1" t="s">
        <v>233</v>
      </c>
      <c r="B109" s="1" t="s">
        <v>234</v>
      </c>
      <c r="C109" s="1" t="s">
        <v>60</v>
      </c>
      <c r="D109" s="1" t="s">
        <v>10</v>
      </c>
      <c r="E109" s="1" t="s">
        <v>40</v>
      </c>
      <c r="F109" s="1">
        <v>35064.65</v>
      </c>
      <c r="G109" s="1">
        <v>8081.29</v>
      </c>
      <c r="H109" s="1">
        <v>371</v>
      </c>
    </row>
    <row r="110" spans="1:8" x14ac:dyDescent="0.35">
      <c r="A110" s="1" t="s">
        <v>84</v>
      </c>
      <c r="B110" s="1" t="s">
        <v>235</v>
      </c>
      <c r="C110" s="1" t="s">
        <v>17</v>
      </c>
      <c r="D110" s="1" t="s">
        <v>31</v>
      </c>
      <c r="E110" s="1" t="s">
        <v>74</v>
      </c>
      <c r="F110" s="1">
        <v>35713.550000000003</v>
      </c>
      <c r="G110" s="1">
        <v>7837.87</v>
      </c>
      <c r="H110" s="1">
        <v>430</v>
      </c>
    </row>
    <row r="111" spans="1:8" x14ac:dyDescent="0.35">
      <c r="A111" s="1" t="s">
        <v>236</v>
      </c>
      <c r="B111" s="1" t="s">
        <v>237</v>
      </c>
      <c r="C111" s="1" t="s">
        <v>30</v>
      </c>
      <c r="D111" s="1" t="s">
        <v>10</v>
      </c>
      <c r="E111" s="1" t="s">
        <v>14</v>
      </c>
      <c r="F111" s="1">
        <v>33744.639999999999</v>
      </c>
      <c r="G111" s="1">
        <v>5842.59</v>
      </c>
      <c r="H111" s="1">
        <v>855</v>
      </c>
    </row>
    <row r="112" spans="1:8" x14ac:dyDescent="0.35">
      <c r="A112" s="1" t="s">
        <v>238</v>
      </c>
      <c r="B112" s="1" t="s">
        <v>239</v>
      </c>
      <c r="C112" s="1" t="s">
        <v>30</v>
      </c>
      <c r="D112" s="1" t="s">
        <v>18</v>
      </c>
      <c r="E112" s="1" t="s">
        <v>19</v>
      </c>
      <c r="F112" s="1">
        <v>22085.79</v>
      </c>
      <c r="G112" s="1">
        <v>2571.79</v>
      </c>
      <c r="H112" s="1">
        <v>501</v>
      </c>
    </row>
    <row r="113" spans="1:8" x14ac:dyDescent="0.35">
      <c r="A113" s="1" t="s">
        <v>33</v>
      </c>
      <c r="B113" s="1" t="s">
        <v>240</v>
      </c>
      <c r="C113" s="1" t="s">
        <v>9</v>
      </c>
      <c r="D113" s="1" t="s">
        <v>43</v>
      </c>
      <c r="E113" s="1" t="s">
        <v>50</v>
      </c>
      <c r="F113" s="1">
        <v>28895.919999999998</v>
      </c>
      <c r="G113" s="1">
        <v>6414.75</v>
      </c>
      <c r="H113" s="1">
        <v>1570</v>
      </c>
    </row>
    <row r="114" spans="1:8" x14ac:dyDescent="0.35">
      <c r="A114" s="1" t="s">
        <v>241</v>
      </c>
      <c r="B114" s="1" t="s">
        <v>242</v>
      </c>
      <c r="C114" s="1" t="s">
        <v>30</v>
      </c>
      <c r="D114" s="1" t="s">
        <v>18</v>
      </c>
      <c r="E114" s="1" t="s">
        <v>61</v>
      </c>
      <c r="F114" s="1">
        <v>26933.33</v>
      </c>
      <c r="G114" s="1">
        <v>4713.8100000000004</v>
      </c>
      <c r="H114" s="1">
        <v>1862</v>
      </c>
    </row>
    <row r="115" spans="1:8" x14ac:dyDescent="0.35">
      <c r="A115" s="1" t="s">
        <v>88</v>
      </c>
      <c r="B115" s="1" t="s">
        <v>243</v>
      </c>
      <c r="C115" s="1" t="s">
        <v>17</v>
      </c>
      <c r="D115" s="1" t="s">
        <v>31</v>
      </c>
      <c r="E115" s="1" t="s">
        <v>32</v>
      </c>
      <c r="F115" s="1">
        <v>48060.36</v>
      </c>
      <c r="G115" s="1">
        <v>7720.14</v>
      </c>
      <c r="H115" s="1">
        <v>218</v>
      </c>
    </row>
    <row r="116" spans="1:8" x14ac:dyDescent="0.35">
      <c r="A116" s="1" t="s">
        <v>147</v>
      </c>
      <c r="B116" s="1" t="s">
        <v>244</v>
      </c>
      <c r="C116" s="1" t="s">
        <v>30</v>
      </c>
      <c r="D116" s="1" t="s">
        <v>10</v>
      </c>
      <c r="E116" s="1" t="s">
        <v>14</v>
      </c>
      <c r="F116" s="1">
        <v>39197.51</v>
      </c>
      <c r="G116" s="1">
        <v>3761.53</v>
      </c>
      <c r="H116" s="1">
        <v>1721</v>
      </c>
    </row>
    <row r="117" spans="1:8" x14ac:dyDescent="0.35">
      <c r="A117" s="1" t="s">
        <v>245</v>
      </c>
      <c r="B117" s="1" t="s">
        <v>246</v>
      </c>
      <c r="C117" s="1" t="s">
        <v>9</v>
      </c>
      <c r="D117" s="1" t="s">
        <v>43</v>
      </c>
      <c r="E117" s="1" t="s">
        <v>50</v>
      </c>
      <c r="F117" s="1">
        <v>45931.29</v>
      </c>
      <c r="G117" s="1">
        <v>4486.93</v>
      </c>
      <c r="H117" s="1">
        <v>1428</v>
      </c>
    </row>
    <row r="118" spans="1:8" x14ac:dyDescent="0.35">
      <c r="A118" s="1" t="s">
        <v>247</v>
      </c>
      <c r="B118" s="1" t="s">
        <v>248</v>
      </c>
      <c r="C118" s="1" t="s">
        <v>9</v>
      </c>
      <c r="D118" s="1" t="s">
        <v>18</v>
      </c>
      <c r="E118" s="1" t="s">
        <v>25</v>
      </c>
      <c r="F118" s="1">
        <v>16179.78</v>
      </c>
      <c r="G118" s="1">
        <v>2119.17</v>
      </c>
      <c r="H118" s="1">
        <v>165</v>
      </c>
    </row>
    <row r="119" spans="1:8" x14ac:dyDescent="0.35">
      <c r="A119" s="1" t="s">
        <v>249</v>
      </c>
      <c r="B119" s="1" t="s">
        <v>250</v>
      </c>
      <c r="C119" s="1" t="s">
        <v>60</v>
      </c>
      <c r="D119" s="1" t="s">
        <v>18</v>
      </c>
      <c r="E119" s="1" t="s">
        <v>19</v>
      </c>
      <c r="F119" s="1">
        <v>23672.65</v>
      </c>
      <c r="G119" s="1">
        <v>3056.66</v>
      </c>
      <c r="H119" s="1">
        <v>1453</v>
      </c>
    </row>
    <row r="120" spans="1:8" x14ac:dyDescent="0.35">
      <c r="A120" s="1" t="s">
        <v>251</v>
      </c>
      <c r="B120" s="1" t="s">
        <v>252</v>
      </c>
      <c r="C120" s="1" t="s">
        <v>30</v>
      </c>
      <c r="D120" s="1" t="s">
        <v>10</v>
      </c>
      <c r="E120" s="1" t="s">
        <v>11</v>
      </c>
      <c r="F120" s="1">
        <v>29011.88</v>
      </c>
      <c r="G120" s="1">
        <v>4518.04</v>
      </c>
      <c r="H120" s="1">
        <v>1513</v>
      </c>
    </row>
    <row r="121" spans="1:8" x14ac:dyDescent="0.35">
      <c r="A121" s="1" t="s">
        <v>253</v>
      </c>
      <c r="B121" s="1" t="s">
        <v>254</v>
      </c>
      <c r="C121" s="1" t="s">
        <v>60</v>
      </c>
      <c r="D121" s="1" t="s">
        <v>31</v>
      </c>
      <c r="E121" s="1" t="s">
        <v>53</v>
      </c>
      <c r="F121" s="1">
        <v>17997.900000000001</v>
      </c>
      <c r="G121" s="1">
        <v>1497.49</v>
      </c>
      <c r="H121" s="1">
        <v>718</v>
      </c>
    </row>
    <row r="122" spans="1:8" x14ac:dyDescent="0.35">
      <c r="A122" s="1" t="s">
        <v>255</v>
      </c>
      <c r="B122" s="1" t="s">
        <v>256</v>
      </c>
      <c r="C122" s="1" t="s">
        <v>9</v>
      </c>
      <c r="D122" s="1" t="s">
        <v>10</v>
      </c>
      <c r="E122" s="1" t="s">
        <v>40</v>
      </c>
      <c r="F122" s="1">
        <v>47006.26</v>
      </c>
      <c r="G122" s="1">
        <v>6442.17</v>
      </c>
      <c r="H122" s="1">
        <v>447</v>
      </c>
    </row>
    <row r="123" spans="1:8" x14ac:dyDescent="0.35">
      <c r="A123" s="1" t="s">
        <v>257</v>
      </c>
      <c r="B123" s="1" t="s">
        <v>258</v>
      </c>
      <c r="C123" s="1" t="s">
        <v>17</v>
      </c>
      <c r="D123" s="1" t="s">
        <v>18</v>
      </c>
      <c r="E123" s="1" t="s">
        <v>25</v>
      </c>
      <c r="F123" s="1">
        <v>35347.74</v>
      </c>
      <c r="G123" s="1">
        <v>6187.76</v>
      </c>
      <c r="H123" s="1">
        <v>1067</v>
      </c>
    </row>
    <row r="124" spans="1:8" x14ac:dyDescent="0.35">
      <c r="A124" s="1" t="s">
        <v>259</v>
      </c>
      <c r="B124" s="1" t="s">
        <v>260</v>
      </c>
      <c r="C124" s="1" t="s">
        <v>9</v>
      </c>
      <c r="D124" s="1" t="s">
        <v>18</v>
      </c>
      <c r="E124" s="1" t="s">
        <v>25</v>
      </c>
      <c r="F124" s="1">
        <v>41098.339999999997</v>
      </c>
      <c r="G124" s="1">
        <v>4364.2</v>
      </c>
      <c r="H124" s="1">
        <v>1296</v>
      </c>
    </row>
    <row r="125" spans="1:8" x14ac:dyDescent="0.35">
      <c r="A125" s="1" t="s">
        <v>261</v>
      </c>
      <c r="B125" s="1" t="s">
        <v>262</v>
      </c>
      <c r="C125" s="1" t="s">
        <v>9</v>
      </c>
      <c r="D125" s="1" t="s">
        <v>31</v>
      </c>
      <c r="E125" s="1" t="s">
        <v>32</v>
      </c>
      <c r="F125" s="1">
        <v>49549.82</v>
      </c>
      <c r="G125" s="1">
        <v>3735.23</v>
      </c>
      <c r="H125" s="1">
        <v>553</v>
      </c>
    </row>
    <row r="126" spans="1:8" x14ac:dyDescent="0.35">
      <c r="A126" s="1" t="s">
        <v>255</v>
      </c>
      <c r="B126" s="1" t="s">
        <v>263</v>
      </c>
      <c r="C126" s="1" t="s">
        <v>60</v>
      </c>
      <c r="D126" s="1" t="s">
        <v>31</v>
      </c>
      <c r="E126" s="1" t="s">
        <v>53</v>
      </c>
      <c r="F126" s="1">
        <v>10189.84</v>
      </c>
      <c r="G126" s="1">
        <v>1910.43</v>
      </c>
      <c r="H126" s="1">
        <v>931</v>
      </c>
    </row>
    <row r="127" spans="1:8" x14ac:dyDescent="0.35">
      <c r="A127" s="1" t="s">
        <v>264</v>
      </c>
      <c r="B127" s="1" t="s">
        <v>265</v>
      </c>
      <c r="C127" s="1" t="s">
        <v>30</v>
      </c>
      <c r="D127" s="1" t="s">
        <v>10</v>
      </c>
      <c r="E127" s="1" t="s">
        <v>11</v>
      </c>
      <c r="F127" s="1">
        <v>39434.32</v>
      </c>
      <c r="G127" s="1">
        <v>3548.36</v>
      </c>
      <c r="H127" s="1">
        <v>1977</v>
      </c>
    </row>
    <row r="128" spans="1:8" x14ac:dyDescent="0.35">
      <c r="A128" s="1" t="s">
        <v>266</v>
      </c>
      <c r="B128" s="1" t="s">
        <v>267</v>
      </c>
      <c r="C128" s="1" t="s">
        <v>9</v>
      </c>
      <c r="D128" s="1" t="s">
        <v>43</v>
      </c>
      <c r="E128" s="1" t="s">
        <v>47</v>
      </c>
      <c r="F128" s="1">
        <v>18977.22</v>
      </c>
      <c r="G128" s="1">
        <v>2233.34</v>
      </c>
      <c r="H128" s="1">
        <v>450</v>
      </c>
    </row>
    <row r="129" spans="1:8" x14ac:dyDescent="0.35">
      <c r="A129" s="1" t="s">
        <v>66</v>
      </c>
      <c r="B129" s="1" t="s">
        <v>268</v>
      </c>
      <c r="C129" s="1" t="s">
        <v>60</v>
      </c>
      <c r="D129" s="1" t="s">
        <v>18</v>
      </c>
      <c r="E129" s="1" t="s">
        <v>92</v>
      </c>
      <c r="F129" s="1">
        <v>5321.43</v>
      </c>
      <c r="G129" s="1">
        <v>1241.79</v>
      </c>
      <c r="H129" s="1">
        <v>1213</v>
      </c>
    </row>
    <row r="130" spans="1:8" x14ac:dyDescent="0.35">
      <c r="A130" s="1" t="s">
        <v>269</v>
      </c>
      <c r="B130" s="1" t="s">
        <v>270</v>
      </c>
      <c r="C130" s="1" t="s">
        <v>30</v>
      </c>
      <c r="D130" s="1" t="s">
        <v>43</v>
      </c>
      <c r="E130" s="1" t="s">
        <v>44</v>
      </c>
      <c r="F130" s="1">
        <v>16952.62</v>
      </c>
      <c r="G130" s="1">
        <v>1578.69</v>
      </c>
      <c r="H130" s="1">
        <v>852</v>
      </c>
    </row>
    <row r="131" spans="1:8" x14ac:dyDescent="0.35">
      <c r="A131" s="1" t="s">
        <v>271</v>
      </c>
      <c r="B131" s="1" t="s">
        <v>272</v>
      </c>
      <c r="C131" s="1" t="s">
        <v>30</v>
      </c>
      <c r="D131" s="1" t="s">
        <v>43</v>
      </c>
      <c r="E131" s="1" t="s">
        <v>111</v>
      </c>
      <c r="F131" s="1">
        <v>19285.86</v>
      </c>
      <c r="G131" s="1">
        <v>1466.89</v>
      </c>
      <c r="H131" s="1">
        <v>624</v>
      </c>
    </row>
    <row r="132" spans="1:8" x14ac:dyDescent="0.35">
      <c r="A132" s="1" t="s">
        <v>164</v>
      </c>
      <c r="B132" s="1" t="s">
        <v>273</v>
      </c>
      <c r="C132" s="1" t="s">
        <v>9</v>
      </c>
      <c r="D132" s="1" t="s">
        <v>18</v>
      </c>
      <c r="E132" s="1" t="s">
        <v>92</v>
      </c>
      <c r="F132" s="1">
        <v>48125.35</v>
      </c>
      <c r="G132" s="1">
        <v>7128.34</v>
      </c>
      <c r="H132" s="1">
        <v>481</v>
      </c>
    </row>
    <row r="133" spans="1:8" x14ac:dyDescent="0.35">
      <c r="A133" s="1" t="s">
        <v>274</v>
      </c>
      <c r="B133" s="1" t="s">
        <v>275</v>
      </c>
      <c r="C133" s="1" t="s">
        <v>30</v>
      </c>
      <c r="D133" s="1" t="s">
        <v>43</v>
      </c>
      <c r="E133" s="1" t="s">
        <v>111</v>
      </c>
      <c r="F133" s="1">
        <v>18304.189999999999</v>
      </c>
      <c r="G133" s="1">
        <v>4467.83</v>
      </c>
      <c r="H133" s="1">
        <v>168</v>
      </c>
    </row>
    <row r="134" spans="1:8" x14ac:dyDescent="0.35">
      <c r="A134" s="1" t="s">
        <v>276</v>
      </c>
      <c r="B134" s="1" t="s">
        <v>277</v>
      </c>
      <c r="C134" s="1" t="s">
        <v>60</v>
      </c>
      <c r="D134" s="1" t="s">
        <v>10</v>
      </c>
      <c r="E134" s="1" t="s">
        <v>40</v>
      </c>
      <c r="F134" s="1">
        <v>37384.379999999997</v>
      </c>
      <c r="G134" s="1">
        <v>8270.77</v>
      </c>
      <c r="H134" s="1">
        <v>94</v>
      </c>
    </row>
    <row r="135" spans="1:8" x14ac:dyDescent="0.35">
      <c r="A135" s="1" t="s">
        <v>7</v>
      </c>
      <c r="B135" s="1" t="s">
        <v>278</v>
      </c>
      <c r="C135" s="1" t="s">
        <v>17</v>
      </c>
      <c r="D135" s="1" t="s">
        <v>10</v>
      </c>
      <c r="E135" s="1" t="s">
        <v>40</v>
      </c>
      <c r="F135" s="1">
        <v>17181.29</v>
      </c>
      <c r="G135" s="1">
        <v>3793.05</v>
      </c>
      <c r="H135" s="1">
        <v>94</v>
      </c>
    </row>
    <row r="136" spans="1:8" x14ac:dyDescent="0.35">
      <c r="A136" s="1" t="s">
        <v>266</v>
      </c>
      <c r="B136" s="1" t="s">
        <v>279</v>
      </c>
      <c r="C136" s="1" t="s">
        <v>60</v>
      </c>
      <c r="D136" s="1" t="s">
        <v>18</v>
      </c>
      <c r="E136" s="1" t="s">
        <v>19</v>
      </c>
      <c r="F136" s="1">
        <v>38026.54</v>
      </c>
      <c r="G136" s="1">
        <v>6523.75</v>
      </c>
      <c r="H136" s="1">
        <v>1187</v>
      </c>
    </row>
    <row r="137" spans="1:8" x14ac:dyDescent="0.35">
      <c r="A137" s="1" t="s">
        <v>15</v>
      </c>
      <c r="B137" s="1" t="s">
        <v>280</v>
      </c>
      <c r="C137" s="1" t="s">
        <v>60</v>
      </c>
      <c r="D137" s="1" t="s">
        <v>10</v>
      </c>
      <c r="E137" s="1" t="s">
        <v>40</v>
      </c>
      <c r="F137" s="1">
        <v>17391.71</v>
      </c>
      <c r="G137" s="1">
        <v>3749.45</v>
      </c>
      <c r="H137" s="1">
        <v>403</v>
      </c>
    </row>
    <row r="138" spans="1:8" x14ac:dyDescent="0.35">
      <c r="A138" s="1" t="s">
        <v>281</v>
      </c>
      <c r="B138" s="1" t="s">
        <v>282</v>
      </c>
      <c r="C138" s="1" t="s">
        <v>30</v>
      </c>
      <c r="D138" s="1" t="s">
        <v>18</v>
      </c>
      <c r="E138" s="1" t="s">
        <v>19</v>
      </c>
      <c r="F138" s="1">
        <v>2279.9699999999998</v>
      </c>
      <c r="G138" s="1">
        <v>381.24</v>
      </c>
      <c r="H138" s="1">
        <v>1874</v>
      </c>
    </row>
    <row r="139" spans="1:8" x14ac:dyDescent="0.35">
      <c r="A139" s="1" t="s">
        <v>283</v>
      </c>
      <c r="B139" s="1" t="s">
        <v>284</v>
      </c>
      <c r="C139" s="1" t="s">
        <v>60</v>
      </c>
      <c r="D139" s="1" t="s">
        <v>43</v>
      </c>
      <c r="E139" s="1" t="s">
        <v>50</v>
      </c>
      <c r="F139" s="1">
        <v>30907.88</v>
      </c>
      <c r="G139" s="1">
        <v>5928.92</v>
      </c>
      <c r="H139" s="1">
        <v>542</v>
      </c>
    </row>
    <row r="140" spans="1:8" x14ac:dyDescent="0.35">
      <c r="A140" s="1" t="s">
        <v>285</v>
      </c>
      <c r="B140" s="1" t="s">
        <v>286</v>
      </c>
      <c r="C140" s="1" t="s">
        <v>9</v>
      </c>
      <c r="D140" s="1" t="s">
        <v>31</v>
      </c>
      <c r="E140" s="1" t="s">
        <v>74</v>
      </c>
      <c r="F140" s="1">
        <v>36088.800000000003</v>
      </c>
      <c r="G140" s="1">
        <v>8497.83</v>
      </c>
      <c r="H140" s="1">
        <v>631</v>
      </c>
    </row>
    <row r="141" spans="1:8" x14ac:dyDescent="0.35">
      <c r="A141" s="1" t="s">
        <v>287</v>
      </c>
      <c r="B141" s="1" t="s">
        <v>288</v>
      </c>
      <c r="C141" s="1" t="s">
        <v>17</v>
      </c>
      <c r="D141" s="1" t="s">
        <v>43</v>
      </c>
      <c r="E141" s="1" t="s">
        <v>50</v>
      </c>
      <c r="F141" s="1">
        <v>25696.91</v>
      </c>
      <c r="G141" s="1">
        <v>4571.2700000000004</v>
      </c>
      <c r="H141" s="1">
        <v>245</v>
      </c>
    </row>
    <row r="142" spans="1:8" x14ac:dyDescent="0.35">
      <c r="A142" s="1" t="s">
        <v>137</v>
      </c>
      <c r="B142" s="1" t="s">
        <v>289</v>
      </c>
      <c r="C142" s="1" t="s">
        <v>9</v>
      </c>
      <c r="D142" s="1" t="s">
        <v>43</v>
      </c>
      <c r="E142" s="1" t="s">
        <v>47</v>
      </c>
      <c r="F142" s="1">
        <v>5047.22</v>
      </c>
      <c r="G142" s="1">
        <v>809.2</v>
      </c>
      <c r="H142" s="1">
        <v>746</v>
      </c>
    </row>
    <row r="143" spans="1:8" x14ac:dyDescent="0.35">
      <c r="A143" s="1" t="s">
        <v>84</v>
      </c>
      <c r="B143" s="1" t="s">
        <v>290</v>
      </c>
      <c r="C143" s="1" t="s">
        <v>9</v>
      </c>
      <c r="D143" s="1" t="s">
        <v>10</v>
      </c>
      <c r="E143" s="1" t="s">
        <v>11</v>
      </c>
      <c r="F143" s="1">
        <v>6130.26</v>
      </c>
      <c r="G143" s="1">
        <v>770.79</v>
      </c>
      <c r="H143" s="1">
        <v>540</v>
      </c>
    </row>
    <row r="144" spans="1:8" x14ac:dyDescent="0.35">
      <c r="A144" s="1" t="s">
        <v>107</v>
      </c>
      <c r="B144" s="1" t="s">
        <v>291</v>
      </c>
      <c r="C144" s="1" t="s">
        <v>60</v>
      </c>
      <c r="D144" s="1" t="s">
        <v>10</v>
      </c>
      <c r="E144" s="1" t="s">
        <v>14</v>
      </c>
      <c r="F144" s="1">
        <v>9479.1</v>
      </c>
      <c r="G144" s="1">
        <v>1488.9</v>
      </c>
      <c r="H144" s="1">
        <v>1819</v>
      </c>
    </row>
    <row r="145" spans="1:8" x14ac:dyDescent="0.35">
      <c r="A145" s="1" t="s">
        <v>23</v>
      </c>
      <c r="B145" s="1" t="s">
        <v>292</v>
      </c>
      <c r="C145" s="1" t="s">
        <v>17</v>
      </c>
      <c r="D145" s="1" t="s">
        <v>18</v>
      </c>
      <c r="E145" s="1" t="s">
        <v>61</v>
      </c>
      <c r="F145" s="1">
        <v>2952.69</v>
      </c>
      <c r="G145" s="1">
        <v>319.54000000000002</v>
      </c>
      <c r="H145" s="1">
        <v>1558</v>
      </c>
    </row>
    <row r="146" spans="1:8" x14ac:dyDescent="0.35">
      <c r="A146" s="1" t="s">
        <v>293</v>
      </c>
      <c r="B146" s="1" t="s">
        <v>294</v>
      </c>
      <c r="C146" s="1" t="s">
        <v>60</v>
      </c>
      <c r="D146" s="1" t="s">
        <v>31</v>
      </c>
      <c r="E146" s="1" t="s">
        <v>32</v>
      </c>
      <c r="F146" s="1">
        <v>12840.43</v>
      </c>
      <c r="G146" s="1">
        <v>2513.38</v>
      </c>
      <c r="H146" s="1">
        <v>174</v>
      </c>
    </row>
    <row r="147" spans="1:8" x14ac:dyDescent="0.35">
      <c r="A147" s="1" t="s">
        <v>28</v>
      </c>
      <c r="B147" s="1" t="s">
        <v>295</v>
      </c>
      <c r="C147" s="1" t="s">
        <v>17</v>
      </c>
      <c r="D147" s="1" t="s">
        <v>18</v>
      </c>
      <c r="E147" s="1" t="s">
        <v>19</v>
      </c>
      <c r="F147" s="1">
        <v>2565.9299999999998</v>
      </c>
      <c r="G147" s="1">
        <v>226.27</v>
      </c>
      <c r="H147" s="1">
        <v>1266</v>
      </c>
    </row>
    <row r="148" spans="1:8" x14ac:dyDescent="0.35">
      <c r="A148" s="1" t="s">
        <v>296</v>
      </c>
      <c r="B148" s="1" t="s">
        <v>297</v>
      </c>
      <c r="C148" s="1" t="s">
        <v>9</v>
      </c>
      <c r="D148" s="1" t="s">
        <v>43</v>
      </c>
      <c r="E148" s="1" t="s">
        <v>111</v>
      </c>
      <c r="F148" s="1">
        <v>41395.589999999997</v>
      </c>
      <c r="G148" s="1">
        <v>7717.39</v>
      </c>
      <c r="H148" s="1">
        <v>1123</v>
      </c>
    </row>
    <row r="149" spans="1:8" x14ac:dyDescent="0.35">
      <c r="A149" s="1" t="s">
        <v>298</v>
      </c>
      <c r="B149" s="1" t="s">
        <v>299</v>
      </c>
      <c r="C149" s="1" t="s">
        <v>9</v>
      </c>
      <c r="D149" s="1" t="s">
        <v>18</v>
      </c>
      <c r="E149" s="1" t="s">
        <v>25</v>
      </c>
      <c r="F149" s="1">
        <v>28478.69</v>
      </c>
      <c r="G149" s="1">
        <v>6153.26</v>
      </c>
      <c r="H149" s="1">
        <v>1508</v>
      </c>
    </row>
    <row r="150" spans="1:8" x14ac:dyDescent="0.35">
      <c r="A150" s="1" t="s">
        <v>257</v>
      </c>
      <c r="B150" s="1" t="s">
        <v>300</v>
      </c>
      <c r="C150" s="1" t="s">
        <v>60</v>
      </c>
      <c r="D150" s="1" t="s">
        <v>43</v>
      </c>
      <c r="E150" s="1" t="s">
        <v>44</v>
      </c>
      <c r="F150" s="1">
        <v>15130.58</v>
      </c>
      <c r="G150" s="1">
        <v>1312.43</v>
      </c>
      <c r="H150" s="1">
        <v>1696</v>
      </c>
    </row>
    <row r="151" spans="1:8" x14ac:dyDescent="0.35">
      <c r="A151" s="1" t="s">
        <v>168</v>
      </c>
      <c r="B151" s="1" t="s">
        <v>301</v>
      </c>
      <c r="C151" s="1" t="s">
        <v>60</v>
      </c>
      <c r="D151" s="1" t="s">
        <v>31</v>
      </c>
      <c r="E151" s="1" t="s">
        <v>53</v>
      </c>
      <c r="F151" s="1">
        <v>47759.06</v>
      </c>
      <c r="G151" s="1">
        <v>10514.14</v>
      </c>
      <c r="H151" s="1">
        <v>1017</v>
      </c>
    </row>
    <row r="152" spans="1:8" x14ac:dyDescent="0.35">
      <c r="A152" s="1" t="s">
        <v>302</v>
      </c>
      <c r="B152" s="1" t="s">
        <v>303</v>
      </c>
      <c r="C152" s="1" t="s">
        <v>9</v>
      </c>
      <c r="D152" s="1" t="s">
        <v>18</v>
      </c>
      <c r="E152" s="1" t="s">
        <v>61</v>
      </c>
      <c r="F152" s="1">
        <v>27462.97</v>
      </c>
      <c r="G152" s="1">
        <v>6354.74</v>
      </c>
      <c r="H152" s="1">
        <v>642</v>
      </c>
    </row>
    <row r="153" spans="1:8" x14ac:dyDescent="0.35">
      <c r="A153" s="1" t="s">
        <v>304</v>
      </c>
      <c r="B153" s="1" t="s">
        <v>305</v>
      </c>
      <c r="C153" s="1" t="s">
        <v>9</v>
      </c>
      <c r="D153" s="1" t="s">
        <v>10</v>
      </c>
      <c r="E153" s="1" t="s">
        <v>11</v>
      </c>
      <c r="F153" s="1">
        <v>44764.61</v>
      </c>
      <c r="G153" s="1">
        <v>6999.4</v>
      </c>
      <c r="H153" s="1">
        <v>395</v>
      </c>
    </row>
    <row r="154" spans="1:8" x14ac:dyDescent="0.35">
      <c r="A154" s="1" t="s">
        <v>306</v>
      </c>
      <c r="B154" s="1" t="s">
        <v>307</v>
      </c>
      <c r="C154" s="1" t="s">
        <v>60</v>
      </c>
      <c r="D154" s="1" t="s">
        <v>43</v>
      </c>
      <c r="E154" s="1" t="s">
        <v>50</v>
      </c>
      <c r="F154" s="1">
        <v>33853.71</v>
      </c>
      <c r="G154" s="1">
        <v>4851.8599999999997</v>
      </c>
      <c r="H154" s="1">
        <v>1312</v>
      </c>
    </row>
    <row r="155" spans="1:8" x14ac:dyDescent="0.35">
      <c r="A155" s="1" t="s">
        <v>308</v>
      </c>
      <c r="B155" s="1" t="s">
        <v>309</v>
      </c>
      <c r="C155" s="1" t="s">
        <v>9</v>
      </c>
      <c r="D155" s="1" t="s">
        <v>31</v>
      </c>
      <c r="E155" s="1" t="s">
        <v>53</v>
      </c>
      <c r="F155" s="1">
        <v>9255.5</v>
      </c>
      <c r="G155" s="1">
        <v>2130.11</v>
      </c>
      <c r="H155" s="1">
        <v>1063</v>
      </c>
    </row>
    <row r="156" spans="1:8" x14ac:dyDescent="0.35">
      <c r="A156" s="1" t="s">
        <v>310</v>
      </c>
      <c r="B156" s="1" t="s">
        <v>311</v>
      </c>
      <c r="C156" s="1" t="s">
        <v>17</v>
      </c>
      <c r="D156" s="1" t="s">
        <v>18</v>
      </c>
      <c r="E156" s="1" t="s">
        <v>25</v>
      </c>
      <c r="F156" s="1">
        <v>43013.31</v>
      </c>
      <c r="G156" s="1">
        <v>3995.01</v>
      </c>
      <c r="H156" s="1">
        <v>1110</v>
      </c>
    </row>
    <row r="157" spans="1:8" x14ac:dyDescent="0.35">
      <c r="A157" s="1" t="s">
        <v>312</v>
      </c>
      <c r="B157" s="1" t="s">
        <v>313</v>
      </c>
      <c r="C157" s="1" t="s">
        <v>9</v>
      </c>
      <c r="D157" s="1" t="s">
        <v>10</v>
      </c>
      <c r="E157" s="1" t="s">
        <v>40</v>
      </c>
      <c r="F157" s="1">
        <v>21048.34</v>
      </c>
      <c r="G157" s="1">
        <v>2084.37</v>
      </c>
      <c r="H157" s="1">
        <v>1414</v>
      </c>
    </row>
    <row r="158" spans="1:8" x14ac:dyDescent="0.35">
      <c r="A158" s="1" t="s">
        <v>82</v>
      </c>
      <c r="B158" s="1" t="s">
        <v>314</v>
      </c>
      <c r="C158" s="1" t="s">
        <v>30</v>
      </c>
      <c r="D158" s="1" t="s">
        <v>18</v>
      </c>
      <c r="E158" s="1" t="s">
        <v>25</v>
      </c>
      <c r="F158" s="1">
        <v>34719.85</v>
      </c>
      <c r="G158" s="1">
        <v>6260.15</v>
      </c>
      <c r="H158" s="1">
        <v>447</v>
      </c>
    </row>
    <row r="159" spans="1:8" x14ac:dyDescent="0.35">
      <c r="A159" s="1" t="s">
        <v>315</v>
      </c>
      <c r="B159" s="1" t="s">
        <v>316</v>
      </c>
      <c r="C159" s="1" t="s">
        <v>17</v>
      </c>
      <c r="D159" s="1" t="s">
        <v>10</v>
      </c>
      <c r="E159" s="1" t="s">
        <v>22</v>
      </c>
      <c r="F159" s="1">
        <v>11355.86</v>
      </c>
      <c r="G159" s="1">
        <v>2785.04</v>
      </c>
      <c r="H159" s="1">
        <v>211</v>
      </c>
    </row>
    <row r="160" spans="1:8" x14ac:dyDescent="0.35">
      <c r="A160" s="1" t="s">
        <v>172</v>
      </c>
      <c r="B160" s="1" t="s">
        <v>317</v>
      </c>
      <c r="C160" s="1" t="s">
        <v>30</v>
      </c>
      <c r="D160" s="1" t="s">
        <v>43</v>
      </c>
      <c r="E160" s="1" t="s">
        <v>111</v>
      </c>
      <c r="F160" s="1">
        <v>28559.78</v>
      </c>
      <c r="G160" s="1">
        <v>6283.91</v>
      </c>
      <c r="H160" s="1">
        <v>1748</v>
      </c>
    </row>
    <row r="161" spans="1:8" x14ac:dyDescent="0.35">
      <c r="A161" s="1" t="s">
        <v>318</v>
      </c>
      <c r="B161" s="1" t="s">
        <v>319</v>
      </c>
      <c r="C161" s="1" t="s">
        <v>17</v>
      </c>
      <c r="D161" s="1" t="s">
        <v>31</v>
      </c>
      <c r="E161" s="1" t="s">
        <v>32</v>
      </c>
      <c r="F161" s="1">
        <v>45146.86</v>
      </c>
      <c r="G161" s="1">
        <v>4335.41</v>
      </c>
      <c r="H161" s="1">
        <v>1221</v>
      </c>
    </row>
    <row r="162" spans="1:8" x14ac:dyDescent="0.35">
      <c r="A162" s="1" t="s">
        <v>20</v>
      </c>
      <c r="B162" s="1" t="s">
        <v>320</v>
      </c>
      <c r="C162" s="1" t="s">
        <v>17</v>
      </c>
      <c r="D162" s="1" t="s">
        <v>43</v>
      </c>
      <c r="E162" s="1" t="s">
        <v>111</v>
      </c>
      <c r="F162" s="1">
        <v>22725.61</v>
      </c>
      <c r="G162" s="1">
        <v>1410.34</v>
      </c>
      <c r="H162" s="1">
        <v>1538</v>
      </c>
    </row>
    <row r="163" spans="1:8" x14ac:dyDescent="0.35">
      <c r="A163" s="1" t="s">
        <v>321</v>
      </c>
      <c r="B163" s="1" t="s">
        <v>322</v>
      </c>
      <c r="C163" s="1" t="s">
        <v>30</v>
      </c>
      <c r="D163" s="1" t="s">
        <v>31</v>
      </c>
      <c r="E163" s="1" t="s">
        <v>77</v>
      </c>
      <c r="F163" s="1">
        <v>33098.949999999997</v>
      </c>
      <c r="G163" s="1">
        <v>4518.6000000000004</v>
      </c>
      <c r="H163" s="1">
        <v>424</v>
      </c>
    </row>
    <row r="164" spans="1:8" x14ac:dyDescent="0.35">
      <c r="A164" s="1" t="s">
        <v>323</v>
      </c>
      <c r="B164" s="1" t="s">
        <v>324</v>
      </c>
      <c r="C164" s="1" t="s">
        <v>30</v>
      </c>
      <c r="D164" s="1" t="s">
        <v>43</v>
      </c>
      <c r="E164" s="1" t="s">
        <v>44</v>
      </c>
      <c r="F164" s="1">
        <v>19583.3</v>
      </c>
      <c r="G164" s="1">
        <v>4883.43</v>
      </c>
      <c r="H164" s="1">
        <v>1551</v>
      </c>
    </row>
    <row r="165" spans="1:8" x14ac:dyDescent="0.35">
      <c r="A165" s="1" t="s">
        <v>82</v>
      </c>
      <c r="B165" s="1" t="s">
        <v>325</v>
      </c>
      <c r="C165" s="1" t="s">
        <v>9</v>
      </c>
      <c r="D165" s="1" t="s">
        <v>18</v>
      </c>
      <c r="E165" s="1" t="s">
        <v>25</v>
      </c>
      <c r="F165" s="1">
        <v>12233.78</v>
      </c>
      <c r="G165" s="1">
        <v>2818.33</v>
      </c>
      <c r="H165" s="1">
        <v>1489</v>
      </c>
    </row>
    <row r="166" spans="1:8" x14ac:dyDescent="0.35">
      <c r="A166" s="1" t="s">
        <v>326</v>
      </c>
      <c r="B166" s="1" t="s">
        <v>327</v>
      </c>
      <c r="C166" s="1" t="s">
        <v>9</v>
      </c>
      <c r="D166" s="1" t="s">
        <v>18</v>
      </c>
      <c r="E166" s="1" t="s">
        <v>61</v>
      </c>
      <c r="F166" s="1">
        <v>23407.919999999998</v>
      </c>
      <c r="G166" s="1">
        <v>5466.64</v>
      </c>
      <c r="H166" s="1">
        <v>483</v>
      </c>
    </row>
    <row r="167" spans="1:8" x14ac:dyDescent="0.35">
      <c r="A167" s="1" t="s">
        <v>133</v>
      </c>
      <c r="B167" s="1" t="s">
        <v>328</v>
      </c>
      <c r="C167" s="1" t="s">
        <v>9</v>
      </c>
      <c r="D167" s="1" t="s">
        <v>10</v>
      </c>
      <c r="E167" s="1" t="s">
        <v>14</v>
      </c>
      <c r="F167" s="1">
        <v>44577.25</v>
      </c>
      <c r="G167" s="1">
        <v>7444.44</v>
      </c>
      <c r="H167" s="1">
        <v>1873</v>
      </c>
    </row>
    <row r="168" spans="1:8" x14ac:dyDescent="0.35">
      <c r="A168" s="1" t="s">
        <v>329</v>
      </c>
      <c r="B168" s="1" t="s">
        <v>330</v>
      </c>
      <c r="C168" s="1" t="s">
        <v>17</v>
      </c>
      <c r="D168" s="1" t="s">
        <v>18</v>
      </c>
      <c r="E168" s="1" t="s">
        <v>92</v>
      </c>
      <c r="F168" s="1">
        <v>25141.06</v>
      </c>
      <c r="G168" s="1">
        <v>2974.82</v>
      </c>
      <c r="H168" s="1">
        <v>582</v>
      </c>
    </row>
    <row r="169" spans="1:8" x14ac:dyDescent="0.35">
      <c r="A169" s="1" t="s">
        <v>180</v>
      </c>
      <c r="B169" s="1" t="s">
        <v>331</v>
      </c>
      <c r="C169" s="1" t="s">
        <v>60</v>
      </c>
      <c r="D169" s="1" t="s">
        <v>31</v>
      </c>
      <c r="E169" s="1" t="s">
        <v>53</v>
      </c>
      <c r="F169" s="1">
        <v>29522.45</v>
      </c>
      <c r="G169" s="1">
        <v>3581.23</v>
      </c>
      <c r="H169" s="1">
        <v>887</v>
      </c>
    </row>
    <row r="170" spans="1:8" x14ac:dyDescent="0.35">
      <c r="A170" s="1" t="s">
        <v>145</v>
      </c>
      <c r="B170" s="1" t="s">
        <v>332</v>
      </c>
      <c r="C170" s="1" t="s">
        <v>60</v>
      </c>
      <c r="D170" s="1" t="s">
        <v>31</v>
      </c>
      <c r="E170" s="1" t="s">
        <v>77</v>
      </c>
      <c r="F170" s="1">
        <v>18601.95</v>
      </c>
      <c r="G170" s="1">
        <v>1200.07</v>
      </c>
      <c r="H170" s="1">
        <v>1514</v>
      </c>
    </row>
    <row r="171" spans="1:8" x14ac:dyDescent="0.35">
      <c r="A171" s="1" t="s">
        <v>333</v>
      </c>
      <c r="B171" s="1" t="s">
        <v>334</v>
      </c>
      <c r="C171" s="1" t="s">
        <v>30</v>
      </c>
      <c r="D171" s="1" t="s">
        <v>31</v>
      </c>
      <c r="E171" s="1" t="s">
        <v>74</v>
      </c>
      <c r="F171" s="1">
        <v>20664.68</v>
      </c>
      <c r="G171" s="1">
        <v>4083.54</v>
      </c>
      <c r="H171" s="1">
        <v>1026</v>
      </c>
    </row>
    <row r="172" spans="1:8" x14ac:dyDescent="0.35">
      <c r="A172" s="1" t="s">
        <v>335</v>
      </c>
      <c r="B172" s="1" t="s">
        <v>336</v>
      </c>
      <c r="C172" s="1" t="s">
        <v>30</v>
      </c>
      <c r="D172" s="1" t="s">
        <v>31</v>
      </c>
      <c r="E172" s="1" t="s">
        <v>32</v>
      </c>
      <c r="F172" s="1">
        <v>2586.92</v>
      </c>
      <c r="G172" s="1">
        <v>290.06</v>
      </c>
      <c r="H172" s="1">
        <v>1622</v>
      </c>
    </row>
    <row r="173" spans="1:8" x14ac:dyDescent="0.35">
      <c r="A173" s="1" t="s">
        <v>337</v>
      </c>
      <c r="B173" s="1" t="s">
        <v>338</v>
      </c>
      <c r="C173" s="1" t="s">
        <v>60</v>
      </c>
      <c r="D173" s="1" t="s">
        <v>43</v>
      </c>
      <c r="E173" s="1" t="s">
        <v>44</v>
      </c>
      <c r="F173" s="1">
        <v>40787.46</v>
      </c>
      <c r="G173" s="1">
        <v>6368.08</v>
      </c>
      <c r="H173" s="1">
        <v>1639</v>
      </c>
    </row>
    <row r="174" spans="1:8" x14ac:dyDescent="0.35">
      <c r="A174" s="1" t="s">
        <v>339</v>
      </c>
      <c r="B174" s="1" t="s">
        <v>340</v>
      </c>
      <c r="C174" s="1" t="s">
        <v>60</v>
      </c>
      <c r="D174" s="1" t="s">
        <v>10</v>
      </c>
      <c r="E174" s="1" t="s">
        <v>11</v>
      </c>
      <c r="F174" s="1">
        <v>45255.13</v>
      </c>
      <c r="G174" s="1">
        <v>2733.77</v>
      </c>
      <c r="H174" s="1">
        <v>1874</v>
      </c>
    </row>
    <row r="175" spans="1:8" x14ac:dyDescent="0.35">
      <c r="A175" s="1" t="s">
        <v>182</v>
      </c>
      <c r="B175" s="1" t="s">
        <v>341</v>
      </c>
      <c r="C175" s="1" t="s">
        <v>9</v>
      </c>
      <c r="D175" s="1" t="s">
        <v>31</v>
      </c>
      <c r="E175" s="1" t="s">
        <v>32</v>
      </c>
      <c r="F175" s="1">
        <v>4547.95</v>
      </c>
      <c r="G175" s="1">
        <v>890.87</v>
      </c>
      <c r="H175" s="1">
        <v>1639</v>
      </c>
    </row>
    <row r="176" spans="1:8" x14ac:dyDescent="0.35">
      <c r="A176" s="1" t="s">
        <v>209</v>
      </c>
      <c r="B176" s="1" t="s">
        <v>342</v>
      </c>
      <c r="C176" s="1" t="s">
        <v>30</v>
      </c>
      <c r="D176" s="1" t="s">
        <v>43</v>
      </c>
      <c r="E176" s="1" t="s">
        <v>111</v>
      </c>
      <c r="F176" s="1">
        <v>48442.61</v>
      </c>
      <c r="G176" s="1">
        <v>9381.74</v>
      </c>
      <c r="H176" s="1">
        <v>203</v>
      </c>
    </row>
    <row r="177" spans="1:8" x14ac:dyDescent="0.35">
      <c r="A177" s="1" t="s">
        <v>343</v>
      </c>
      <c r="B177" s="1" t="s">
        <v>344</v>
      </c>
      <c r="C177" s="1" t="s">
        <v>17</v>
      </c>
      <c r="D177" s="1" t="s">
        <v>43</v>
      </c>
      <c r="E177" s="1" t="s">
        <v>111</v>
      </c>
      <c r="F177" s="1">
        <v>49887.47</v>
      </c>
      <c r="G177" s="1">
        <v>7808.32</v>
      </c>
      <c r="H177" s="1">
        <v>506</v>
      </c>
    </row>
    <row r="178" spans="1:8" x14ac:dyDescent="0.35">
      <c r="A178" s="1" t="s">
        <v>345</v>
      </c>
      <c r="B178" s="1" t="s">
        <v>346</v>
      </c>
      <c r="C178" s="1" t="s">
        <v>17</v>
      </c>
      <c r="D178" s="1" t="s">
        <v>10</v>
      </c>
      <c r="E178" s="1" t="s">
        <v>14</v>
      </c>
      <c r="F178" s="1">
        <v>45090.46</v>
      </c>
      <c r="G178" s="1">
        <v>6715.93</v>
      </c>
      <c r="H178" s="1">
        <v>1637</v>
      </c>
    </row>
    <row r="179" spans="1:8" x14ac:dyDescent="0.35">
      <c r="A179" s="1" t="s">
        <v>88</v>
      </c>
      <c r="B179" s="1" t="s">
        <v>347</v>
      </c>
      <c r="C179" s="1" t="s">
        <v>9</v>
      </c>
      <c r="D179" s="1" t="s">
        <v>43</v>
      </c>
      <c r="E179" s="1" t="s">
        <v>44</v>
      </c>
      <c r="F179" s="1">
        <v>6098.74</v>
      </c>
      <c r="G179" s="1">
        <v>495.84</v>
      </c>
      <c r="H179" s="1">
        <v>1935</v>
      </c>
    </row>
    <row r="180" spans="1:8" x14ac:dyDescent="0.35">
      <c r="A180" s="1" t="s">
        <v>348</v>
      </c>
      <c r="B180" s="1" t="s">
        <v>349</v>
      </c>
      <c r="C180" s="1" t="s">
        <v>60</v>
      </c>
      <c r="D180" s="1" t="s">
        <v>31</v>
      </c>
      <c r="E180" s="1" t="s">
        <v>53</v>
      </c>
      <c r="F180" s="1">
        <v>6424.5</v>
      </c>
      <c r="G180" s="1">
        <v>1343.89</v>
      </c>
      <c r="H180" s="1">
        <v>1609</v>
      </c>
    </row>
    <row r="181" spans="1:8" x14ac:dyDescent="0.35">
      <c r="A181" s="1" t="s">
        <v>350</v>
      </c>
      <c r="B181" s="1" t="s">
        <v>351</v>
      </c>
      <c r="C181" s="1" t="s">
        <v>17</v>
      </c>
      <c r="D181" s="1" t="s">
        <v>31</v>
      </c>
      <c r="E181" s="1" t="s">
        <v>53</v>
      </c>
      <c r="F181" s="1">
        <v>49685.65</v>
      </c>
      <c r="G181" s="1">
        <v>6937.95</v>
      </c>
      <c r="H181" s="1">
        <v>805</v>
      </c>
    </row>
    <row r="182" spans="1:8" x14ac:dyDescent="0.35">
      <c r="A182" s="1" t="s">
        <v>287</v>
      </c>
      <c r="B182" s="1" t="s">
        <v>352</v>
      </c>
      <c r="C182" s="1" t="s">
        <v>17</v>
      </c>
      <c r="D182" s="1" t="s">
        <v>31</v>
      </c>
      <c r="E182" s="1" t="s">
        <v>77</v>
      </c>
      <c r="F182" s="1">
        <v>48888.6</v>
      </c>
      <c r="G182" s="1">
        <v>2760.32</v>
      </c>
      <c r="H182" s="1">
        <v>1093</v>
      </c>
    </row>
    <row r="183" spans="1:8" x14ac:dyDescent="0.35">
      <c r="A183" s="1" t="s">
        <v>129</v>
      </c>
      <c r="B183" s="1" t="s">
        <v>353</v>
      </c>
      <c r="C183" s="1" t="s">
        <v>60</v>
      </c>
      <c r="D183" s="1" t="s">
        <v>18</v>
      </c>
      <c r="E183" s="1" t="s">
        <v>19</v>
      </c>
      <c r="F183" s="1">
        <v>5148.7299999999996</v>
      </c>
      <c r="G183" s="1">
        <v>338.95</v>
      </c>
      <c r="H183" s="1">
        <v>229</v>
      </c>
    </row>
    <row r="184" spans="1:8" x14ac:dyDescent="0.35">
      <c r="A184" s="1" t="s">
        <v>126</v>
      </c>
      <c r="B184" s="1" t="s">
        <v>354</v>
      </c>
      <c r="C184" s="1" t="s">
        <v>30</v>
      </c>
      <c r="D184" s="1" t="s">
        <v>43</v>
      </c>
      <c r="E184" s="1" t="s">
        <v>111</v>
      </c>
      <c r="F184" s="1">
        <v>17993.97</v>
      </c>
      <c r="G184" s="1">
        <v>1554.42</v>
      </c>
      <c r="H184" s="1">
        <v>1206</v>
      </c>
    </row>
    <row r="185" spans="1:8" x14ac:dyDescent="0.35">
      <c r="A185" s="1" t="s">
        <v>355</v>
      </c>
      <c r="B185" s="1" t="s">
        <v>356</v>
      </c>
      <c r="C185" s="1" t="s">
        <v>30</v>
      </c>
      <c r="D185" s="1" t="s">
        <v>10</v>
      </c>
      <c r="E185" s="1" t="s">
        <v>11</v>
      </c>
      <c r="F185" s="1">
        <v>42125.67</v>
      </c>
      <c r="G185" s="1">
        <v>5089.6400000000003</v>
      </c>
      <c r="H185" s="1">
        <v>409</v>
      </c>
    </row>
    <row r="186" spans="1:8" x14ac:dyDescent="0.35">
      <c r="A186" s="1" t="s">
        <v>357</v>
      </c>
      <c r="B186" s="1" t="s">
        <v>358</v>
      </c>
      <c r="C186" s="1" t="s">
        <v>17</v>
      </c>
      <c r="D186" s="1" t="s">
        <v>31</v>
      </c>
      <c r="E186" s="1" t="s">
        <v>53</v>
      </c>
      <c r="F186" s="1">
        <v>47914.239999999998</v>
      </c>
      <c r="G186" s="1">
        <v>10266.39</v>
      </c>
      <c r="H186" s="1">
        <v>1047</v>
      </c>
    </row>
    <row r="187" spans="1:8" x14ac:dyDescent="0.35">
      <c r="A187" s="1" t="s">
        <v>304</v>
      </c>
      <c r="B187" s="1" t="s">
        <v>359</v>
      </c>
      <c r="C187" s="1" t="s">
        <v>17</v>
      </c>
      <c r="D187" s="1" t="s">
        <v>10</v>
      </c>
      <c r="E187" s="1" t="s">
        <v>40</v>
      </c>
      <c r="F187" s="1">
        <v>29909.74</v>
      </c>
      <c r="G187" s="1">
        <v>6060.8</v>
      </c>
      <c r="H187" s="1">
        <v>1110</v>
      </c>
    </row>
    <row r="188" spans="1:8" x14ac:dyDescent="0.35">
      <c r="A188" s="1" t="s">
        <v>213</v>
      </c>
      <c r="B188" s="1" t="s">
        <v>360</v>
      </c>
      <c r="C188" s="1" t="s">
        <v>9</v>
      </c>
      <c r="D188" s="1" t="s">
        <v>43</v>
      </c>
      <c r="E188" s="1" t="s">
        <v>47</v>
      </c>
      <c r="F188" s="1">
        <v>1171.48</v>
      </c>
      <c r="G188" s="1">
        <v>292.19</v>
      </c>
      <c r="H188" s="1">
        <v>1581</v>
      </c>
    </row>
    <row r="189" spans="1:8" x14ac:dyDescent="0.35">
      <c r="A189" s="1" t="s">
        <v>361</v>
      </c>
      <c r="B189" s="1" t="s">
        <v>362</v>
      </c>
      <c r="C189" s="1" t="s">
        <v>17</v>
      </c>
      <c r="D189" s="1" t="s">
        <v>18</v>
      </c>
      <c r="E189" s="1" t="s">
        <v>25</v>
      </c>
      <c r="F189" s="1">
        <v>23867.439999999999</v>
      </c>
      <c r="G189" s="1">
        <v>2340.4499999999998</v>
      </c>
      <c r="H189" s="1">
        <v>1051</v>
      </c>
    </row>
    <row r="190" spans="1:8" x14ac:dyDescent="0.35">
      <c r="A190" s="1" t="s">
        <v>363</v>
      </c>
      <c r="B190" s="1" t="s">
        <v>364</v>
      </c>
      <c r="C190" s="1" t="s">
        <v>60</v>
      </c>
      <c r="D190" s="1" t="s">
        <v>10</v>
      </c>
      <c r="E190" s="1" t="s">
        <v>14</v>
      </c>
      <c r="F190" s="1">
        <v>27359.46</v>
      </c>
      <c r="G190" s="1">
        <v>5541.17</v>
      </c>
      <c r="H190" s="1">
        <v>512</v>
      </c>
    </row>
    <row r="191" spans="1:8" x14ac:dyDescent="0.35">
      <c r="A191" s="1" t="s">
        <v>365</v>
      </c>
      <c r="B191" s="1" t="s">
        <v>366</v>
      </c>
      <c r="C191" s="1" t="s">
        <v>17</v>
      </c>
      <c r="D191" s="1" t="s">
        <v>43</v>
      </c>
      <c r="E191" s="1" t="s">
        <v>44</v>
      </c>
      <c r="F191" s="1">
        <v>7695.15</v>
      </c>
      <c r="G191" s="1">
        <v>405.9</v>
      </c>
      <c r="H191" s="1">
        <v>1311</v>
      </c>
    </row>
    <row r="192" spans="1:8" x14ac:dyDescent="0.35">
      <c r="A192" s="1" t="s">
        <v>68</v>
      </c>
      <c r="B192" s="1" t="s">
        <v>367</v>
      </c>
      <c r="C192" s="1" t="s">
        <v>9</v>
      </c>
      <c r="D192" s="1" t="s">
        <v>18</v>
      </c>
      <c r="E192" s="1" t="s">
        <v>92</v>
      </c>
      <c r="F192" s="1">
        <v>47983.17</v>
      </c>
      <c r="G192" s="1">
        <v>4170.13</v>
      </c>
      <c r="H192" s="1">
        <v>562</v>
      </c>
    </row>
    <row r="193" spans="1:8" x14ac:dyDescent="0.35">
      <c r="A193" s="1" t="s">
        <v>368</v>
      </c>
      <c r="B193" s="1" t="s">
        <v>369</v>
      </c>
      <c r="C193" s="1" t="s">
        <v>9</v>
      </c>
      <c r="D193" s="1" t="s">
        <v>18</v>
      </c>
      <c r="E193" s="1" t="s">
        <v>92</v>
      </c>
      <c r="F193" s="1">
        <v>28035.08</v>
      </c>
      <c r="G193" s="1">
        <v>5148.08</v>
      </c>
      <c r="H193" s="1">
        <v>888</v>
      </c>
    </row>
    <row r="194" spans="1:8" x14ac:dyDescent="0.35">
      <c r="A194" s="1" t="s">
        <v>370</v>
      </c>
      <c r="B194" s="1" t="s">
        <v>371</v>
      </c>
      <c r="C194" s="1" t="s">
        <v>17</v>
      </c>
      <c r="D194" s="1" t="s">
        <v>31</v>
      </c>
      <c r="E194" s="1" t="s">
        <v>77</v>
      </c>
      <c r="F194" s="1">
        <v>23929.37</v>
      </c>
      <c r="G194" s="1">
        <v>4135.07</v>
      </c>
      <c r="H194" s="1">
        <v>117</v>
      </c>
    </row>
    <row r="195" spans="1:8" x14ac:dyDescent="0.35">
      <c r="A195" s="1" t="s">
        <v>145</v>
      </c>
      <c r="B195" s="1" t="s">
        <v>372</v>
      </c>
      <c r="C195" s="1" t="s">
        <v>9</v>
      </c>
      <c r="D195" s="1" t="s">
        <v>43</v>
      </c>
      <c r="E195" s="1" t="s">
        <v>47</v>
      </c>
      <c r="F195" s="1">
        <v>22558.7</v>
      </c>
      <c r="G195" s="1">
        <v>1781.85</v>
      </c>
      <c r="H195" s="1">
        <v>1261</v>
      </c>
    </row>
    <row r="196" spans="1:8" x14ac:dyDescent="0.35">
      <c r="A196" s="1" t="s">
        <v>373</v>
      </c>
      <c r="B196" s="1" t="s">
        <v>374</v>
      </c>
      <c r="C196" s="1" t="s">
        <v>30</v>
      </c>
      <c r="D196" s="1" t="s">
        <v>43</v>
      </c>
      <c r="E196" s="1" t="s">
        <v>111</v>
      </c>
      <c r="F196" s="1">
        <v>26243.11</v>
      </c>
      <c r="G196" s="1">
        <v>3487.1</v>
      </c>
      <c r="H196" s="1">
        <v>1385</v>
      </c>
    </row>
    <row r="197" spans="1:8" x14ac:dyDescent="0.35">
      <c r="A197" s="1" t="s">
        <v>375</v>
      </c>
      <c r="B197" s="1" t="s">
        <v>376</v>
      </c>
      <c r="C197" s="1" t="s">
        <v>17</v>
      </c>
      <c r="D197" s="1" t="s">
        <v>10</v>
      </c>
      <c r="E197" s="1" t="s">
        <v>40</v>
      </c>
      <c r="F197" s="1">
        <v>10807.7</v>
      </c>
      <c r="G197" s="1">
        <v>1140.01</v>
      </c>
      <c r="H197" s="1">
        <v>960</v>
      </c>
    </row>
    <row r="198" spans="1:8" x14ac:dyDescent="0.35">
      <c r="A198" s="1" t="s">
        <v>377</v>
      </c>
      <c r="B198" s="1" t="s">
        <v>378</v>
      </c>
      <c r="C198" s="1" t="s">
        <v>30</v>
      </c>
      <c r="D198" s="1" t="s">
        <v>18</v>
      </c>
      <c r="E198" s="1" t="s">
        <v>61</v>
      </c>
      <c r="F198" s="1">
        <v>25748.43</v>
      </c>
      <c r="G198" s="1">
        <v>1585.78</v>
      </c>
      <c r="H198" s="1">
        <v>1963</v>
      </c>
    </row>
    <row r="199" spans="1:8" x14ac:dyDescent="0.35">
      <c r="A199" s="1" t="s">
        <v>379</v>
      </c>
      <c r="B199" s="1" t="s">
        <v>380</v>
      </c>
      <c r="C199" s="1" t="s">
        <v>9</v>
      </c>
      <c r="D199" s="1" t="s">
        <v>18</v>
      </c>
      <c r="E199" s="1" t="s">
        <v>25</v>
      </c>
      <c r="F199" s="1">
        <v>17182.93</v>
      </c>
      <c r="G199" s="1">
        <v>2299.69</v>
      </c>
      <c r="H199" s="1">
        <v>1247</v>
      </c>
    </row>
    <row r="200" spans="1:8" x14ac:dyDescent="0.35">
      <c r="A200" s="1" t="s">
        <v>355</v>
      </c>
      <c r="B200" s="1" t="s">
        <v>381</v>
      </c>
      <c r="C200" s="1" t="s">
        <v>9</v>
      </c>
      <c r="D200" s="1" t="s">
        <v>10</v>
      </c>
      <c r="E200" s="1" t="s">
        <v>40</v>
      </c>
      <c r="F200" s="1">
        <v>25929.74</v>
      </c>
      <c r="G200" s="1">
        <v>2833.52</v>
      </c>
      <c r="H200" s="1">
        <v>221</v>
      </c>
    </row>
    <row r="201" spans="1:8" x14ac:dyDescent="0.35">
      <c r="A201" s="1" t="s">
        <v>382</v>
      </c>
      <c r="B201" s="1" t="s">
        <v>383</v>
      </c>
      <c r="C201" s="1" t="s">
        <v>60</v>
      </c>
      <c r="D201" s="1" t="s">
        <v>43</v>
      </c>
      <c r="E201" s="1" t="s">
        <v>50</v>
      </c>
      <c r="F201" s="1">
        <v>38727.56</v>
      </c>
      <c r="G201" s="1">
        <v>3596.68</v>
      </c>
      <c r="H201" s="1">
        <v>1613</v>
      </c>
    </row>
    <row r="202" spans="1:8" x14ac:dyDescent="0.35">
      <c r="A202" s="1" t="s">
        <v>384</v>
      </c>
      <c r="B202" s="1" t="s">
        <v>385</v>
      </c>
      <c r="C202" s="1" t="s">
        <v>9</v>
      </c>
      <c r="D202" s="1" t="s">
        <v>31</v>
      </c>
      <c r="E202" s="1" t="s">
        <v>77</v>
      </c>
      <c r="F202" s="1">
        <v>30644.35</v>
      </c>
      <c r="G202" s="1">
        <v>6179.51</v>
      </c>
      <c r="H202" s="1">
        <v>1973</v>
      </c>
    </row>
    <row r="203" spans="1:8" x14ac:dyDescent="0.35">
      <c r="A203" s="1" t="s">
        <v>386</v>
      </c>
      <c r="B203" s="1" t="s">
        <v>387</v>
      </c>
      <c r="C203" s="1" t="s">
        <v>9</v>
      </c>
      <c r="D203" s="1" t="s">
        <v>10</v>
      </c>
      <c r="E203" s="1" t="s">
        <v>14</v>
      </c>
      <c r="F203" s="1">
        <v>42938.28</v>
      </c>
      <c r="G203" s="1">
        <v>8154.94</v>
      </c>
      <c r="H203" s="1">
        <v>1580</v>
      </c>
    </row>
    <row r="204" spans="1:8" x14ac:dyDescent="0.35">
      <c r="A204" s="1" t="s">
        <v>388</v>
      </c>
      <c r="B204" s="1" t="s">
        <v>389</v>
      </c>
      <c r="C204" s="1" t="s">
        <v>30</v>
      </c>
      <c r="D204" s="1" t="s">
        <v>31</v>
      </c>
      <c r="E204" s="1" t="s">
        <v>74</v>
      </c>
      <c r="F204" s="1">
        <v>13783.21</v>
      </c>
      <c r="G204" s="1">
        <v>3085.41</v>
      </c>
      <c r="H204" s="1">
        <v>210</v>
      </c>
    </row>
    <row r="205" spans="1:8" x14ac:dyDescent="0.35">
      <c r="A205" s="1" t="s">
        <v>390</v>
      </c>
      <c r="B205" s="1" t="s">
        <v>391</v>
      </c>
      <c r="C205" s="1" t="s">
        <v>30</v>
      </c>
      <c r="D205" s="1" t="s">
        <v>18</v>
      </c>
      <c r="E205" s="1" t="s">
        <v>61</v>
      </c>
      <c r="F205" s="1">
        <v>45113.26</v>
      </c>
      <c r="G205" s="1">
        <v>3954.3</v>
      </c>
      <c r="H205" s="1">
        <v>977</v>
      </c>
    </row>
    <row r="206" spans="1:8" x14ac:dyDescent="0.35">
      <c r="A206" s="1" t="s">
        <v>329</v>
      </c>
      <c r="B206" s="1" t="s">
        <v>392</v>
      </c>
      <c r="C206" s="1" t="s">
        <v>60</v>
      </c>
      <c r="D206" s="1" t="s">
        <v>43</v>
      </c>
      <c r="E206" s="1" t="s">
        <v>44</v>
      </c>
      <c r="F206" s="1">
        <v>21762.31</v>
      </c>
      <c r="G206" s="1">
        <v>1695.37</v>
      </c>
      <c r="H206" s="1">
        <v>539</v>
      </c>
    </row>
    <row r="207" spans="1:8" x14ac:dyDescent="0.35">
      <c r="A207" s="1" t="s">
        <v>393</v>
      </c>
      <c r="B207" s="1" t="s">
        <v>394</v>
      </c>
      <c r="C207" s="1" t="s">
        <v>9</v>
      </c>
      <c r="D207" s="1" t="s">
        <v>10</v>
      </c>
      <c r="E207" s="1" t="s">
        <v>22</v>
      </c>
      <c r="F207" s="1">
        <v>26516.400000000001</v>
      </c>
      <c r="G207" s="1">
        <v>2872.75</v>
      </c>
      <c r="H207" s="1">
        <v>426</v>
      </c>
    </row>
    <row r="208" spans="1:8" x14ac:dyDescent="0.35">
      <c r="A208" s="1" t="s">
        <v>276</v>
      </c>
      <c r="B208" s="1" t="s">
        <v>395</v>
      </c>
      <c r="C208" s="1" t="s">
        <v>9</v>
      </c>
      <c r="D208" s="1" t="s">
        <v>18</v>
      </c>
      <c r="E208" s="1" t="s">
        <v>61</v>
      </c>
      <c r="F208" s="1">
        <v>2881.95</v>
      </c>
      <c r="G208" s="1">
        <v>424.8</v>
      </c>
      <c r="H208" s="1">
        <v>1080</v>
      </c>
    </row>
    <row r="209" spans="1:8" x14ac:dyDescent="0.35">
      <c r="A209" s="1" t="s">
        <v>236</v>
      </c>
      <c r="B209" s="1" t="s">
        <v>396</v>
      </c>
      <c r="C209" s="1" t="s">
        <v>30</v>
      </c>
      <c r="D209" s="1" t="s">
        <v>18</v>
      </c>
      <c r="E209" s="1" t="s">
        <v>92</v>
      </c>
      <c r="F209" s="1">
        <v>26620.5</v>
      </c>
      <c r="G209" s="1">
        <v>6099.59</v>
      </c>
      <c r="H209" s="1">
        <v>985</v>
      </c>
    </row>
    <row r="210" spans="1:8" x14ac:dyDescent="0.35">
      <c r="A210" s="1" t="s">
        <v>397</v>
      </c>
      <c r="B210" s="1" t="s">
        <v>398</v>
      </c>
      <c r="C210" s="1" t="s">
        <v>30</v>
      </c>
      <c r="D210" s="1" t="s">
        <v>10</v>
      </c>
      <c r="E210" s="1" t="s">
        <v>14</v>
      </c>
      <c r="F210" s="1">
        <v>7441.75</v>
      </c>
      <c r="G210" s="1">
        <v>1651.59</v>
      </c>
      <c r="H210" s="1">
        <v>496</v>
      </c>
    </row>
    <row r="211" spans="1:8" x14ac:dyDescent="0.35">
      <c r="A211" s="1" t="s">
        <v>86</v>
      </c>
      <c r="B211" s="1" t="s">
        <v>399</v>
      </c>
      <c r="C211" s="1" t="s">
        <v>60</v>
      </c>
      <c r="D211" s="1" t="s">
        <v>31</v>
      </c>
      <c r="E211" s="1" t="s">
        <v>53</v>
      </c>
      <c r="F211" s="1">
        <v>41940.93</v>
      </c>
      <c r="G211" s="1">
        <v>8628.09</v>
      </c>
      <c r="H211" s="1">
        <v>1813</v>
      </c>
    </row>
    <row r="212" spans="1:8" x14ac:dyDescent="0.35">
      <c r="A212" s="1" t="s">
        <v>287</v>
      </c>
      <c r="B212" s="1" t="s">
        <v>400</v>
      </c>
      <c r="C212" s="1" t="s">
        <v>30</v>
      </c>
      <c r="D212" s="1" t="s">
        <v>18</v>
      </c>
      <c r="E212" s="1" t="s">
        <v>61</v>
      </c>
      <c r="F212" s="1">
        <v>19170.52</v>
      </c>
      <c r="G212" s="1">
        <v>3638.76</v>
      </c>
      <c r="H212" s="1">
        <v>1685</v>
      </c>
    </row>
    <row r="213" spans="1:8" x14ac:dyDescent="0.35">
      <c r="A213" s="1" t="s">
        <v>401</v>
      </c>
      <c r="B213" s="1" t="s">
        <v>402</v>
      </c>
      <c r="C213" s="1" t="s">
        <v>60</v>
      </c>
      <c r="D213" s="1" t="s">
        <v>18</v>
      </c>
      <c r="E213" s="1" t="s">
        <v>61</v>
      </c>
      <c r="F213" s="1">
        <v>3922.37</v>
      </c>
      <c r="G213" s="1">
        <v>782.65</v>
      </c>
      <c r="H213" s="1">
        <v>1770</v>
      </c>
    </row>
    <row r="214" spans="1:8" x14ac:dyDescent="0.35">
      <c r="A214" s="1" t="s">
        <v>149</v>
      </c>
      <c r="B214" s="1" t="s">
        <v>403</v>
      </c>
      <c r="C214" s="1" t="s">
        <v>9</v>
      </c>
      <c r="D214" s="1" t="s">
        <v>18</v>
      </c>
      <c r="E214" s="1" t="s">
        <v>19</v>
      </c>
      <c r="F214" s="1">
        <v>11915.4</v>
      </c>
      <c r="G214" s="1">
        <v>1431.28</v>
      </c>
      <c r="H214" s="1">
        <v>1202</v>
      </c>
    </row>
    <row r="215" spans="1:8" x14ac:dyDescent="0.35">
      <c r="A215" s="1" t="s">
        <v>404</v>
      </c>
      <c r="B215" s="1" t="s">
        <v>405</v>
      </c>
      <c r="C215" s="1" t="s">
        <v>30</v>
      </c>
      <c r="D215" s="1" t="s">
        <v>31</v>
      </c>
      <c r="E215" s="1" t="s">
        <v>77</v>
      </c>
      <c r="F215" s="1">
        <v>10562.17</v>
      </c>
      <c r="G215" s="1">
        <v>2467.2199999999998</v>
      </c>
      <c r="H215" s="1">
        <v>1286</v>
      </c>
    </row>
    <row r="216" spans="1:8" x14ac:dyDescent="0.35">
      <c r="A216" s="1" t="s">
        <v>406</v>
      </c>
      <c r="B216" s="1" t="s">
        <v>407</v>
      </c>
      <c r="C216" s="1" t="s">
        <v>30</v>
      </c>
      <c r="D216" s="1" t="s">
        <v>18</v>
      </c>
      <c r="E216" s="1" t="s">
        <v>92</v>
      </c>
      <c r="F216" s="1">
        <v>46930.93</v>
      </c>
      <c r="G216" s="1">
        <v>7960.22</v>
      </c>
      <c r="H216" s="1">
        <v>814</v>
      </c>
    </row>
    <row r="217" spans="1:8" x14ac:dyDescent="0.35">
      <c r="A217" s="1" t="s">
        <v>408</v>
      </c>
      <c r="B217" s="1" t="s">
        <v>409</v>
      </c>
      <c r="C217" s="1" t="s">
        <v>60</v>
      </c>
      <c r="D217" s="1" t="s">
        <v>18</v>
      </c>
      <c r="E217" s="1" t="s">
        <v>61</v>
      </c>
      <c r="F217" s="1">
        <v>18326.62</v>
      </c>
      <c r="G217" s="1">
        <v>1224.08</v>
      </c>
      <c r="H217" s="1">
        <v>47</v>
      </c>
    </row>
    <row r="218" spans="1:8" x14ac:dyDescent="0.35">
      <c r="A218" s="1" t="s">
        <v>410</v>
      </c>
      <c r="B218" s="1" t="s">
        <v>411</v>
      </c>
      <c r="C218" s="1" t="s">
        <v>17</v>
      </c>
      <c r="D218" s="1" t="s">
        <v>10</v>
      </c>
      <c r="E218" s="1" t="s">
        <v>11</v>
      </c>
      <c r="F218" s="1">
        <v>33681.57</v>
      </c>
      <c r="G218" s="1">
        <v>7583.62</v>
      </c>
      <c r="H218" s="1">
        <v>1060</v>
      </c>
    </row>
    <row r="219" spans="1:8" x14ac:dyDescent="0.35">
      <c r="A219" s="1" t="s">
        <v>75</v>
      </c>
      <c r="B219" s="1" t="s">
        <v>412</v>
      </c>
      <c r="C219" s="1" t="s">
        <v>9</v>
      </c>
      <c r="D219" s="1" t="s">
        <v>18</v>
      </c>
      <c r="E219" s="1" t="s">
        <v>25</v>
      </c>
      <c r="F219" s="1">
        <v>10955.62</v>
      </c>
      <c r="G219" s="1">
        <v>2441.16</v>
      </c>
      <c r="H219" s="1">
        <v>1120</v>
      </c>
    </row>
    <row r="220" spans="1:8" x14ac:dyDescent="0.35">
      <c r="A220" s="1" t="s">
        <v>413</v>
      </c>
      <c r="B220" s="1" t="s">
        <v>414</v>
      </c>
      <c r="C220" s="1" t="s">
        <v>30</v>
      </c>
      <c r="D220" s="1" t="s">
        <v>10</v>
      </c>
      <c r="E220" s="1" t="s">
        <v>14</v>
      </c>
      <c r="F220" s="1">
        <v>33399.51</v>
      </c>
      <c r="G220" s="1">
        <v>4374.54</v>
      </c>
      <c r="H220" s="1">
        <v>140</v>
      </c>
    </row>
    <row r="221" spans="1:8" x14ac:dyDescent="0.35">
      <c r="A221" s="1" t="s">
        <v>415</v>
      </c>
      <c r="B221" s="1" t="s">
        <v>416</v>
      </c>
      <c r="C221" s="1" t="s">
        <v>9</v>
      </c>
      <c r="D221" s="1" t="s">
        <v>10</v>
      </c>
      <c r="E221" s="1" t="s">
        <v>40</v>
      </c>
      <c r="F221" s="1">
        <v>6034.79</v>
      </c>
      <c r="G221" s="1">
        <v>1171.42</v>
      </c>
      <c r="H221" s="1">
        <v>424</v>
      </c>
    </row>
    <row r="222" spans="1:8" x14ac:dyDescent="0.35">
      <c r="A222" s="1" t="s">
        <v>417</v>
      </c>
      <c r="B222" s="1" t="s">
        <v>418</v>
      </c>
      <c r="C222" s="1" t="s">
        <v>17</v>
      </c>
      <c r="D222" s="1" t="s">
        <v>31</v>
      </c>
      <c r="E222" s="1" t="s">
        <v>77</v>
      </c>
      <c r="F222" s="1">
        <v>33044.22</v>
      </c>
      <c r="G222" s="1">
        <v>8087.79</v>
      </c>
      <c r="H222" s="1">
        <v>724</v>
      </c>
    </row>
    <row r="223" spans="1:8" x14ac:dyDescent="0.35">
      <c r="A223" s="1" t="s">
        <v>70</v>
      </c>
      <c r="B223" s="1" t="s">
        <v>419</v>
      </c>
      <c r="C223" s="1" t="s">
        <v>30</v>
      </c>
      <c r="D223" s="1" t="s">
        <v>10</v>
      </c>
      <c r="E223" s="1" t="s">
        <v>14</v>
      </c>
      <c r="F223" s="1">
        <v>14251.71</v>
      </c>
      <c r="G223" s="1">
        <v>1657.59</v>
      </c>
      <c r="H223" s="1">
        <v>171</v>
      </c>
    </row>
    <row r="224" spans="1:8" x14ac:dyDescent="0.35">
      <c r="A224" s="1" t="s">
        <v>97</v>
      </c>
      <c r="B224" s="1" t="s">
        <v>420</v>
      </c>
      <c r="C224" s="1" t="s">
        <v>60</v>
      </c>
      <c r="D224" s="1" t="s">
        <v>18</v>
      </c>
      <c r="E224" s="1" t="s">
        <v>25</v>
      </c>
      <c r="F224" s="1">
        <v>3194.16</v>
      </c>
      <c r="G224" s="1">
        <v>622.15</v>
      </c>
      <c r="H224" s="1">
        <v>479</v>
      </c>
    </row>
    <row r="225" spans="1:8" x14ac:dyDescent="0.35">
      <c r="A225" s="1" t="s">
        <v>421</v>
      </c>
      <c r="B225" s="1" t="s">
        <v>422</v>
      </c>
      <c r="C225" s="1" t="s">
        <v>60</v>
      </c>
      <c r="D225" s="1" t="s">
        <v>43</v>
      </c>
      <c r="E225" s="1" t="s">
        <v>47</v>
      </c>
      <c r="F225" s="1">
        <v>37183.74</v>
      </c>
      <c r="G225" s="1">
        <v>4738.53</v>
      </c>
      <c r="H225" s="1">
        <v>1983</v>
      </c>
    </row>
    <row r="226" spans="1:8" x14ac:dyDescent="0.35">
      <c r="A226" s="1" t="s">
        <v>423</v>
      </c>
      <c r="B226" s="1" t="s">
        <v>424</v>
      </c>
      <c r="C226" s="1" t="s">
        <v>60</v>
      </c>
      <c r="D226" s="1" t="s">
        <v>10</v>
      </c>
      <c r="E226" s="1" t="s">
        <v>14</v>
      </c>
      <c r="F226" s="1">
        <v>12839.51</v>
      </c>
      <c r="G226" s="1">
        <v>2699.33</v>
      </c>
      <c r="H226" s="1">
        <v>1460</v>
      </c>
    </row>
    <row r="227" spans="1:8" x14ac:dyDescent="0.35">
      <c r="A227" s="1" t="s">
        <v>365</v>
      </c>
      <c r="B227" s="1" t="s">
        <v>425</v>
      </c>
      <c r="C227" s="1" t="s">
        <v>17</v>
      </c>
      <c r="D227" s="1" t="s">
        <v>18</v>
      </c>
      <c r="E227" s="1" t="s">
        <v>92</v>
      </c>
      <c r="F227" s="1">
        <v>27248.1</v>
      </c>
      <c r="G227" s="1">
        <v>6116.6</v>
      </c>
      <c r="H227" s="1">
        <v>776</v>
      </c>
    </row>
    <row r="228" spans="1:8" x14ac:dyDescent="0.35">
      <c r="A228" s="1" t="s">
        <v>426</v>
      </c>
      <c r="B228" s="1" t="s">
        <v>427</v>
      </c>
      <c r="C228" s="1" t="s">
        <v>9</v>
      </c>
      <c r="D228" s="1" t="s">
        <v>31</v>
      </c>
      <c r="E228" s="1" t="s">
        <v>53</v>
      </c>
      <c r="F228" s="1">
        <v>6371.58</v>
      </c>
      <c r="G228" s="1">
        <v>358.74</v>
      </c>
      <c r="H228" s="1">
        <v>349</v>
      </c>
    </row>
    <row r="229" spans="1:8" x14ac:dyDescent="0.35">
      <c r="A229" s="1" t="s">
        <v>228</v>
      </c>
      <c r="B229" s="1" t="s">
        <v>428</v>
      </c>
      <c r="C229" s="1" t="s">
        <v>60</v>
      </c>
      <c r="D229" s="1" t="s">
        <v>31</v>
      </c>
      <c r="E229" s="1" t="s">
        <v>32</v>
      </c>
      <c r="F229" s="1">
        <v>22966.57</v>
      </c>
      <c r="G229" s="1">
        <v>3620.83</v>
      </c>
      <c r="H229" s="1">
        <v>1721</v>
      </c>
    </row>
    <row r="230" spans="1:8" x14ac:dyDescent="0.35">
      <c r="A230" s="1" t="s">
        <v>429</v>
      </c>
      <c r="B230" s="1" t="s">
        <v>430</v>
      </c>
      <c r="C230" s="1" t="s">
        <v>17</v>
      </c>
      <c r="D230" s="1" t="s">
        <v>43</v>
      </c>
      <c r="E230" s="1" t="s">
        <v>111</v>
      </c>
      <c r="F230" s="1">
        <v>34703.33</v>
      </c>
      <c r="G230" s="1">
        <v>4543.97</v>
      </c>
      <c r="H230" s="1">
        <v>1555</v>
      </c>
    </row>
    <row r="231" spans="1:8" x14ac:dyDescent="0.35">
      <c r="A231" s="1" t="s">
        <v>431</v>
      </c>
      <c r="B231" s="1" t="s">
        <v>432</v>
      </c>
      <c r="C231" s="1" t="s">
        <v>60</v>
      </c>
      <c r="D231" s="1" t="s">
        <v>10</v>
      </c>
      <c r="E231" s="1" t="s">
        <v>22</v>
      </c>
      <c r="F231" s="1">
        <v>34675.68</v>
      </c>
      <c r="G231" s="1">
        <v>3459.96</v>
      </c>
      <c r="H231" s="1">
        <v>777</v>
      </c>
    </row>
    <row r="232" spans="1:8" x14ac:dyDescent="0.35">
      <c r="A232" s="1" t="s">
        <v>433</v>
      </c>
      <c r="B232" s="1" t="s">
        <v>434</v>
      </c>
      <c r="C232" s="1" t="s">
        <v>9</v>
      </c>
      <c r="D232" s="1" t="s">
        <v>43</v>
      </c>
      <c r="E232" s="1" t="s">
        <v>44</v>
      </c>
      <c r="F232" s="1">
        <v>31829.48</v>
      </c>
      <c r="G232" s="1">
        <v>6984.96</v>
      </c>
      <c r="H232" s="1">
        <v>807</v>
      </c>
    </row>
    <row r="233" spans="1:8" x14ac:dyDescent="0.35">
      <c r="A233" s="1" t="s">
        <v>157</v>
      </c>
      <c r="B233" s="1" t="s">
        <v>435</v>
      </c>
      <c r="C233" s="1" t="s">
        <v>9</v>
      </c>
      <c r="D233" s="1" t="s">
        <v>31</v>
      </c>
      <c r="E233" s="1" t="s">
        <v>53</v>
      </c>
      <c r="F233" s="1">
        <v>10266.6</v>
      </c>
      <c r="G233" s="1">
        <v>590.15</v>
      </c>
      <c r="H233" s="1">
        <v>868</v>
      </c>
    </row>
    <row r="234" spans="1:8" x14ac:dyDescent="0.35">
      <c r="A234" s="1" t="s">
        <v>390</v>
      </c>
      <c r="B234" s="1" t="s">
        <v>436</v>
      </c>
      <c r="C234" s="1" t="s">
        <v>60</v>
      </c>
      <c r="D234" s="1" t="s">
        <v>43</v>
      </c>
      <c r="E234" s="1" t="s">
        <v>111</v>
      </c>
      <c r="F234" s="1">
        <v>19062.86</v>
      </c>
      <c r="G234" s="1">
        <v>3665.11</v>
      </c>
      <c r="H234" s="1">
        <v>1802</v>
      </c>
    </row>
    <row r="235" spans="1:8" x14ac:dyDescent="0.35">
      <c r="A235" s="1" t="s">
        <v>437</v>
      </c>
      <c r="B235" s="1" t="s">
        <v>438</v>
      </c>
      <c r="C235" s="1" t="s">
        <v>9</v>
      </c>
      <c r="D235" s="1" t="s">
        <v>18</v>
      </c>
      <c r="E235" s="1" t="s">
        <v>61</v>
      </c>
      <c r="F235" s="1">
        <v>40235.919999999998</v>
      </c>
      <c r="G235" s="1">
        <v>8922.5</v>
      </c>
      <c r="H235" s="1">
        <v>406</v>
      </c>
    </row>
    <row r="236" spans="1:8" x14ac:dyDescent="0.35">
      <c r="A236" s="1" t="s">
        <v>439</v>
      </c>
      <c r="B236" s="1" t="s">
        <v>440</v>
      </c>
      <c r="C236" s="1" t="s">
        <v>30</v>
      </c>
      <c r="D236" s="1" t="s">
        <v>31</v>
      </c>
      <c r="E236" s="1" t="s">
        <v>74</v>
      </c>
      <c r="F236" s="1">
        <v>15241.67</v>
      </c>
      <c r="G236" s="1">
        <v>1512.64</v>
      </c>
      <c r="H236" s="1">
        <v>1541</v>
      </c>
    </row>
    <row r="237" spans="1:8" x14ac:dyDescent="0.35">
      <c r="A237" s="1" t="s">
        <v>441</v>
      </c>
      <c r="B237" s="1" t="s">
        <v>442</v>
      </c>
      <c r="C237" s="1" t="s">
        <v>60</v>
      </c>
      <c r="D237" s="1" t="s">
        <v>18</v>
      </c>
      <c r="E237" s="1" t="s">
        <v>61</v>
      </c>
      <c r="F237" s="1">
        <v>37942.449999999997</v>
      </c>
      <c r="G237" s="1">
        <v>9024.7900000000009</v>
      </c>
      <c r="H237" s="1">
        <v>1658</v>
      </c>
    </row>
    <row r="238" spans="1:8" x14ac:dyDescent="0.35">
      <c r="A238" s="1" t="s">
        <v>443</v>
      </c>
      <c r="B238" s="1" t="s">
        <v>444</v>
      </c>
      <c r="C238" s="1" t="s">
        <v>9</v>
      </c>
      <c r="D238" s="1" t="s">
        <v>10</v>
      </c>
      <c r="E238" s="1" t="s">
        <v>22</v>
      </c>
      <c r="F238" s="1">
        <v>27326.01</v>
      </c>
      <c r="G238" s="1">
        <v>3934.43</v>
      </c>
      <c r="H238" s="1">
        <v>1591</v>
      </c>
    </row>
    <row r="239" spans="1:8" x14ac:dyDescent="0.35">
      <c r="A239" s="1" t="s">
        <v>99</v>
      </c>
      <c r="B239" s="1" t="s">
        <v>445</v>
      </c>
      <c r="C239" s="1" t="s">
        <v>30</v>
      </c>
      <c r="D239" s="1" t="s">
        <v>18</v>
      </c>
      <c r="E239" s="1" t="s">
        <v>61</v>
      </c>
      <c r="F239" s="1">
        <v>14164.75</v>
      </c>
      <c r="G239" s="1">
        <v>1758.85</v>
      </c>
      <c r="H239" s="1">
        <v>1546</v>
      </c>
    </row>
    <row r="240" spans="1:8" x14ac:dyDescent="0.35">
      <c r="A240" s="1" t="s">
        <v>253</v>
      </c>
      <c r="B240" s="1" t="s">
        <v>446</v>
      </c>
      <c r="C240" s="1" t="s">
        <v>9</v>
      </c>
      <c r="D240" s="1" t="s">
        <v>18</v>
      </c>
      <c r="E240" s="1" t="s">
        <v>61</v>
      </c>
      <c r="F240" s="1">
        <v>49698.1</v>
      </c>
      <c r="G240" s="1">
        <v>12172.48</v>
      </c>
      <c r="H240" s="1">
        <v>535</v>
      </c>
    </row>
    <row r="241" spans="1:8" x14ac:dyDescent="0.35">
      <c r="A241" s="1" t="s">
        <v>447</v>
      </c>
      <c r="B241" s="1" t="s">
        <v>448</v>
      </c>
      <c r="C241" s="1" t="s">
        <v>30</v>
      </c>
      <c r="D241" s="1" t="s">
        <v>10</v>
      </c>
      <c r="E241" s="1" t="s">
        <v>14</v>
      </c>
      <c r="F241" s="1">
        <v>1237.0899999999999</v>
      </c>
      <c r="G241" s="1">
        <v>118.5</v>
      </c>
      <c r="H241" s="1">
        <v>1527</v>
      </c>
    </row>
    <row r="242" spans="1:8" x14ac:dyDescent="0.35">
      <c r="A242" s="1" t="s">
        <v>449</v>
      </c>
      <c r="B242" s="1" t="s">
        <v>450</v>
      </c>
      <c r="C242" s="1" t="s">
        <v>60</v>
      </c>
      <c r="D242" s="1" t="s">
        <v>31</v>
      </c>
      <c r="E242" s="1" t="s">
        <v>32</v>
      </c>
      <c r="F242" s="1">
        <v>6348.35</v>
      </c>
      <c r="G242" s="1">
        <v>1360.55</v>
      </c>
      <c r="H242" s="1">
        <v>1422</v>
      </c>
    </row>
    <row r="243" spans="1:8" x14ac:dyDescent="0.35">
      <c r="A243" s="1" t="s">
        <v>126</v>
      </c>
      <c r="B243" s="1" t="s">
        <v>451</v>
      </c>
      <c r="C243" s="1" t="s">
        <v>17</v>
      </c>
      <c r="D243" s="1" t="s">
        <v>10</v>
      </c>
      <c r="E243" s="1" t="s">
        <v>22</v>
      </c>
      <c r="F243" s="1">
        <v>16262</v>
      </c>
      <c r="G243" s="1">
        <v>837.39</v>
      </c>
      <c r="H243" s="1">
        <v>634</v>
      </c>
    </row>
    <row r="244" spans="1:8" x14ac:dyDescent="0.35">
      <c r="A244" s="1" t="s">
        <v>452</v>
      </c>
      <c r="B244" s="1" t="s">
        <v>453</v>
      </c>
      <c r="C244" s="1" t="s">
        <v>30</v>
      </c>
      <c r="D244" s="1" t="s">
        <v>10</v>
      </c>
      <c r="E244" s="1" t="s">
        <v>22</v>
      </c>
      <c r="F244" s="1">
        <v>48569.05</v>
      </c>
      <c r="G244" s="1">
        <v>10874.19</v>
      </c>
      <c r="H244" s="1">
        <v>930</v>
      </c>
    </row>
    <row r="245" spans="1:8" x14ac:dyDescent="0.35">
      <c r="A245" s="1" t="s">
        <v>454</v>
      </c>
      <c r="B245" s="1" t="s">
        <v>455</v>
      </c>
      <c r="C245" s="1" t="s">
        <v>17</v>
      </c>
      <c r="D245" s="1" t="s">
        <v>43</v>
      </c>
      <c r="E245" s="1" t="s">
        <v>44</v>
      </c>
      <c r="F245" s="1">
        <v>5556.73</v>
      </c>
      <c r="G245" s="1">
        <v>1059.1600000000001</v>
      </c>
      <c r="H245" s="1">
        <v>1474</v>
      </c>
    </row>
    <row r="246" spans="1:8" x14ac:dyDescent="0.35">
      <c r="A246" s="1" t="s">
        <v>456</v>
      </c>
      <c r="B246" s="1" t="s">
        <v>457</v>
      </c>
      <c r="C246" s="1" t="s">
        <v>9</v>
      </c>
      <c r="D246" s="1" t="s">
        <v>31</v>
      </c>
      <c r="E246" s="1" t="s">
        <v>74</v>
      </c>
      <c r="F246" s="1">
        <v>4839.58</v>
      </c>
      <c r="G246" s="1">
        <v>899.83</v>
      </c>
      <c r="H246" s="1">
        <v>1694</v>
      </c>
    </row>
    <row r="247" spans="1:8" x14ac:dyDescent="0.35">
      <c r="A247" s="1" t="s">
        <v>458</v>
      </c>
      <c r="B247" s="1" t="s">
        <v>459</v>
      </c>
      <c r="C247" s="1" t="s">
        <v>30</v>
      </c>
      <c r="D247" s="1" t="s">
        <v>18</v>
      </c>
      <c r="E247" s="1" t="s">
        <v>61</v>
      </c>
      <c r="F247" s="1">
        <v>46220.69</v>
      </c>
      <c r="G247" s="1">
        <v>10749.05</v>
      </c>
      <c r="H247" s="1">
        <v>820</v>
      </c>
    </row>
    <row r="248" spans="1:8" x14ac:dyDescent="0.35">
      <c r="A248" s="1" t="s">
        <v>460</v>
      </c>
      <c r="B248" s="1" t="s">
        <v>461</v>
      </c>
      <c r="C248" s="1" t="s">
        <v>17</v>
      </c>
      <c r="D248" s="1" t="s">
        <v>18</v>
      </c>
      <c r="E248" s="1" t="s">
        <v>61</v>
      </c>
      <c r="F248" s="1">
        <v>24432.43</v>
      </c>
      <c r="G248" s="1">
        <v>2936.31</v>
      </c>
      <c r="H248" s="1">
        <v>504</v>
      </c>
    </row>
    <row r="249" spans="1:8" x14ac:dyDescent="0.35">
      <c r="A249" s="1" t="s">
        <v>462</v>
      </c>
      <c r="B249" s="1" t="s">
        <v>463</v>
      </c>
      <c r="C249" s="1" t="s">
        <v>17</v>
      </c>
      <c r="D249" s="1" t="s">
        <v>43</v>
      </c>
      <c r="E249" s="1" t="s">
        <v>44</v>
      </c>
      <c r="F249" s="1">
        <v>37903.910000000003</v>
      </c>
      <c r="G249" s="1">
        <v>6837.36</v>
      </c>
      <c r="H249" s="1">
        <v>1930</v>
      </c>
    </row>
    <row r="250" spans="1:8" x14ac:dyDescent="0.35">
      <c r="A250" s="1" t="s">
        <v>355</v>
      </c>
      <c r="B250" s="1" t="s">
        <v>464</v>
      </c>
      <c r="C250" s="1" t="s">
        <v>30</v>
      </c>
      <c r="D250" s="1" t="s">
        <v>31</v>
      </c>
      <c r="E250" s="1" t="s">
        <v>53</v>
      </c>
      <c r="F250" s="1">
        <v>17432.05</v>
      </c>
      <c r="G250" s="1">
        <v>1392.44</v>
      </c>
      <c r="H250" s="1">
        <v>674</v>
      </c>
    </row>
    <row r="251" spans="1:8" x14ac:dyDescent="0.35">
      <c r="A251" s="1" t="s">
        <v>465</v>
      </c>
      <c r="B251" s="1" t="s">
        <v>466</v>
      </c>
      <c r="C251" s="1" t="s">
        <v>30</v>
      </c>
      <c r="D251" s="1" t="s">
        <v>31</v>
      </c>
      <c r="E251" s="1" t="s">
        <v>74</v>
      </c>
      <c r="F251" s="1">
        <v>21496.33</v>
      </c>
      <c r="G251" s="1">
        <v>3486.76</v>
      </c>
      <c r="H251" s="1">
        <v>684</v>
      </c>
    </row>
    <row r="252" spans="1:8" x14ac:dyDescent="0.35">
      <c r="A252" s="1" t="s">
        <v>467</v>
      </c>
      <c r="B252" s="1" t="s">
        <v>468</v>
      </c>
      <c r="C252" s="1" t="s">
        <v>17</v>
      </c>
      <c r="D252" s="1" t="s">
        <v>43</v>
      </c>
      <c r="E252" s="1" t="s">
        <v>44</v>
      </c>
      <c r="F252" s="1">
        <v>7194.22</v>
      </c>
      <c r="G252" s="1">
        <v>1716.04</v>
      </c>
      <c r="H252" s="1">
        <v>726</v>
      </c>
    </row>
    <row r="253" spans="1:8" x14ac:dyDescent="0.35">
      <c r="A253" s="1" t="s">
        <v>200</v>
      </c>
      <c r="B253" s="1" t="s">
        <v>469</v>
      </c>
      <c r="C253" s="1" t="s">
        <v>60</v>
      </c>
      <c r="D253" s="1" t="s">
        <v>10</v>
      </c>
      <c r="E253" s="1" t="s">
        <v>14</v>
      </c>
      <c r="F253" s="1">
        <v>35564</v>
      </c>
      <c r="G253" s="1">
        <v>5915.87</v>
      </c>
      <c r="H253" s="1">
        <v>1993</v>
      </c>
    </row>
    <row r="254" spans="1:8" x14ac:dyDescent="0.35">
      <c r="A254" s="1" t="s">
        <v>296</v>
      </c>
      <c r="B254" s="1" t="s">
        <v>470</v>
      </c>
      <c r="C254" s="1" t="s">
        <v>9</v>
      </c>
      <c r="D254" s="1" t="s">
        <v>10</v>
      </c>
      <c r="E254" s="1" t="s">
        <v>40</v>
      </c>
      <c r="F254" s="1">
        <v>31588.720000000001</v>
      </c>
      <c r="G254" s="1">
        <v>6553.34</v>
      </c>
      <c r="H254" s="1">
        <v>1648</v>
      </c>
    </row>
    <row r="255" spans="1:8" x14ac:dyDescent="0.35">
      <c r="A255" s="1" t="s">
        <v>471</v>
      </c>
      <c r="B255" s="1" t="s">
        <v>472</v>
      </c>
      <c r="C255" s="1" t="s">
        <v>30</v>
      </c>
      <c r="D255" s="1" t="s">
        <v>31</v>
      </c>
      <c r="E255" s="1" t="s">
        <v>77</v>
      </c>
      <c r="F255" s="1">
        <v>5165.75</v>
      </c>
      <c r="G255" s="1">
        <v>1064.5899999999999</v>
      </c>
      <c r="H255" s="1">
        <v>1728</v>
      </c>
    </row>
    <row r="256" spans="1:8" x14ac:dyDescent="0.35">
      <c r="A256" s="1" t="s">
        <v>170</v>
      </c>
      <c r="B256" s="1" t="s">
        <v>473</v>
      </c>
      <c r="C256" s="1" t="s">
        <v>30</v>
      </c>
      <c r="D256" s="1" t="s">
        <v>31</v>
      </c>
      <c r="E256" s="1" t="s">
        <v>53</v>
      </c>
      <c r="F256" s="1">
        <v>25853.4</v>
      </c>
      <c r="G256" s="1">
        <v>5435.44</v>
      </c>
      <c r="H256" s="1">
        <v>446</v>
      </c>
    </row>
    <row r="257" spans="1:8" x14ac:dyDescent="0.35">
      <c r="A257" s="1" t="s">
        <v>474</v>
      </c>
      <c r="B257" s="1" t="s">
        <v>475</v>
      </c>
      <c r="C257" s="1" t="s">
        <v>9</v>
      </c>
      <c r="D257" s="1" t="s">
        <v>43</v>
      </c>
      <c r="E257" s="1" t="s">
        <v>50</v>
      </c>
      <c r="F257" s="1">
        <v>33567.81</v>
      </c>
      <c r="G257" s="1">
        <v>8090.2</v>
      </c>
      <c r="H257" s="1">
        <v>1875</v>
      </c>
    </row>
    <row r="258" spans="1:8" x14ac:dyDescent="0.35">
      <c r="A258" s="1" t="s">
        <v>36</v>
      </c>
      <c r="B258" s="1" t="s">
        <v>476</v>
      </c>
      <c r="C258" s="1" t="s">
        <v>9</v>
      </c>
      <c r="D258" s="1" t="s">
        <v>18</v>
      </c>
      <c r="E258" s="1" t="s">
        <v>19</v>
      </c>
      <c r="F258" s="1">
        <v>7257.8</v>
      </c>
      <c r="G258" s="1">
        <v>971.84</v>
      </c>
      <c r="H258" s="1">
        <v>793</v>
      </c>
    </row>
    <row r="259" spans="1:8" x14ac:dyDescent="0.35">
      <c r="A259" s="1" t="s">
        <v>393</v>
      </c>
      <c r="B259" s="1" t="s">
        <v>477</v>
      </c>
      <c r="C259" s="1" t="s">
        <v>60</v>
      </c>
      <c r="D259" s="1" t="s">
        <v>31</v>
      </c>
      <c r="E259" s="1" t="s">
        <v>74</v>
      </c>
      <c r="F259" s="1">
        <v>38846.99</v>
      </c>
      <c r="G259" s="1">
        <v>9229.69</v>
      </c>
      <c r="H259" s="1">
        <v>1724</v>
      </c>
    </row>
    <row r="260" spans="1:8" x14ac:dyDescent="0.35">
      <c r="A260" s="1" t="s">
        <v>478</v>
      </c>
      <c r="B260" s="1" t="s">
        <v>479</v>
      </c>
      <c r="C260" s="1" t="s">
        <v>9</v>
      </c>
      <c r="D260" s="1" t="s">
        <v>18</v>
      </c>
      <c r="E260" s="1" t="s">
        <v>61</v>
      </c>
      <c r="F260" s="1">
        <v>15906.02</v>
      </c>
      <c r="G260" s="1">
        <v>2739.19</v>
      </c>
      <c r="H260" s="1">
        <v>1100</v>
      </c>
    </row>
    <row r="261" spans="1:8" x14ac:dyDescent="0.35">
      <c r="A261" s="1" t="s">
        <v>480</v>
      </c>
      <c r="B261" s="1" t="s">
        <v>481</v>
      </c>
      <c r="C261" s="1" t="s">
        <v>60</v>
      </c>
      <c r="D261" s="1" t="s">
        <v>43</v>
      </c>
      <c r="E261" s="1" t="s">
        <v>111</v>
      </c>
      <c r="F261" s="1">
        <v>33279.06</v>
      </c>
      <c r="G261" s="1">
        <v>2505.77</v>
      </c>
      <c r="H261" s="1">
        <v>1524</v>
      </c>
    </row>
    <row r="262" spans="1:8" x14ac:dyDescent="0.35">
      <c r="A262" s="1" t="s">
        <v>226</v>
      </c>
      <c r="B262" s="1" t="s">
        <v>482</v>
      </c>
      <c r="C262" s="1" t="s">
        <v>60</v>
      </c>
      <c r="D262" s="1" t="s">
        <v>10</v>
      </c>
      <c r="E262" s="1" t="s">
        <v>14</v>
      </c>
      <c r="F262" s="1">
        <v>16404.009999999998</v>
      </c>
      <c r="G262" s="1">
        <v>2889.06</v>
      </c>
      <c r="H262" s="1">
        <v>1863</v>
      </c>
    </row>
    <row r="263" spans="1:8" x14ac:dyDescent="0.35">
      <c r="A263" s="1" t="s">
        <v>350</v>
      </c>
      <c r="B263" s="1" t="s">
        <v>483</v>
      </c>
      <c r="C263" s="1" t="s">
        <v>60</v>
      </c>
      <c r="D263" s="1" t="s">
        <v>31</v>
      </c>
      <c r="E263" s="1" t="s">
        <v>74</v>
      </c>
      <c r="F263" s="1">
        <v>34366.379999999997</v>
      </c>
      <c r="G263" s="1">
        <v>5763.82</v>
      </c>
      <c r="H263" s="1">
        <v>1128</v>
      </c>
    </row>
    <row r="264" spans="1:8" x14ac:dyDescent="0.35">
      <c r="A264" s="1" t="s">
        <v>484</v>
      </c>
      <c r="B264" s="1" t="s">
        <v>485</v>
      </c>
      <c r="C264" s="1" t="s">
        <v>60</v>
      </c>
      <c r="D264" s="1" t="s">
        <v>18</v>
      </c>
      <c r="E264" s="1" t="s">
        <v>92</v>
      </c>
      <c r="F264" s="1">
        <v>22463.08</v>
      </c>
      <c r="G264" s="1">
        <v>5101.93</v>
      </c>
      <c r="H264" s="1">
        <v>195</v>
      </c>
    </row>
    <row r="265" spans="1:8" x14ac:dyDescent="0.35">
      <c r="A265" s="1" t="s">
        <v>486</v>
      </c>
      <c r="B265" s="1" t="s">
        <v>487</v>
      </c>
      <c r="C265" s="1" t="s">
        <v>17</v>
      </c>
      <c r="D265" s="1" t="s">
        <v>10</v>
      </c>
      <c r="E265" s="1" t="s">
        <v>14</v>
      </c>
      <c r="F265" s="1">
        <v>35245.35</v>
      </c>
      <c r="G265" s="1">
        <v>5954.46</v>
      </c>
      <c r="H265" s="1">
        <v>314</v>
      </c>
    </row>
    <row r="266" spans="1:8" x14ac:dyDescent="0.35">
      <c r="A266" s="1" t="s">
        <v>484</v>
      </c>
      <c r="B266" s="1" t="s">
        <v>488</v>
      </c>
      <c r="C266" s="1" t="s">
        <v>30</v>
      </c>
      <c r="D266" s="1" t="s">
        <v>10</v>
      </c>
      <c r="E266" s="1" t="s">
        <v>22</v>
      </c>
      <c r="F266" s="1">
        <v>23040.98</v>
      </c>
      <c r="G266" s="1">
        <v>3860.83</v>
      </c>
      <c r="H266" s="1">
        <v>1745</v>
      </c>
    </row>
    <row r="267" spans="1:8" x14ac:dyDescent="0.35">
      <c r="A267" s="1" t="s">
        <v>489</v>
      </c>
      <c r="B267" s="1" t="s">
        <v>490</v>
      </c>
      <c r="C267" s="1" t="s">
        <v>17</v>
      </c>
      <c r="D267" s="1" t="s">
        <v>43</v>
      </c>
      <c r="E267" s="1" t="s">
        <v>44</v>
      </c>
      <c r="F267" s="1">
        <v>902.62</v>
      </c>
      <c r="G267" s="1">
        <v>102.34</v>
      </c>
      <c r="H267" s="1">
        <v>1576</v>
      </c>
    </row>
    <row r="268" spans="1:8" x14ac:dyDescent="0.35">
      <c r="A268" s="1" t="s">
        <v>310</v>
      </c>
      <c r="B268" s="1" t="s">
        <v>491</v>
      </c>
      <c r="C268" s="1" t="s">
        <v>60</v>
      </c>
      <c r="D268" s="1" t="s">
        <v>31</v>
      </c>
      <c r="E268" s="1" t="s">
        <v>77</v>
      </c>
      <c r="F268" s="1">
        <v>8699.8700000000008</v>
      </c>
      <c r="G268" s="1">
        <v>1614.31</v>
      </c>
      <c r="H268" s="1">
        <v>957</v>
      </c>
    </row>
    <row r="269" spans="1:8" x14ac:dyDescent="0.35">
      <c r="A269" s="1" t="s">
        <v>492</v>
      </c>
      <c r="B269" s="1" t="s">
        <v>493</v>
      </c>
      <c r="C269" s="1" t="s">
        <v>60</v>
      </c>
      <c r="D269" s="1" t="s">
        <v>10</v>
      </c>
      <c r="E269" s="1" t="s">
        <v>11</v>
      </c>
      <c r="F269" s="1">
        <v>19272.509999999998</v>
      </c>
      <c r="G269" s="1">
        <v>3527.9</v>
      </c>
      <c r="H269" s="1">
        <v>926</v>
      </c>
    </row>
    <row r="270" spans="1:8" x14ac:dyDescent="0.35">
      <c r="A270" s="1" t="s">
        <v>184</v>
      </c>
      <c r="B270" s="1" t="s">
        <v>494</v>
      </c>
      <c r="C270" s="1" t="s">
        <v>17</v>
      </c>
      <c r="D270" s="1" t="s">
        <v>31</v>
      </c>
      <c r="E270" s="1" t="s">
        <v>53</v>
      </c>
      <c r="F270" s="1">
        <v>19860.66</v>
      </c>
      <c r="G270" s="1">
        <v>2689.76</v>
      </c>
      <c r="H270" s="1">
        <v>415</v>
      </c>
    </row>
    <row r="271" spans="1:8" x14ac:dyDescent="0.35">
      <c r="A271" s="1" t="s">
        <v>276</v>
      </c>
      <c r="B271" s="1" t="s">
        <v>495</v>
      </c>
      <c r="C271" s="1" t="s">
        <v>17</v>
      </c>
      <c r="D271" s="1" t="s">
        <v>31</v>
      </c>
      <c r="E271" s="1" t="s">
        <v>74</v>
      </c>
      <c r="F271" s="1">
        <v>41978.26</v>
      </c>
      <c r="G271" s="1">
        <v>6498.19</v>
      </c>
      <c r="H271" s="1">
        <v>481</v>
      </c>
    </row>
    <row r="272" spans="1:8" x14ac:dyDescent="0.35">
      <c r="A272" s="1" t="s">
        <v>335</v>
      </c>
      <c r="B272" s="1" t="s">
        <v>496</v>
      </c>
      <c r="C272" s="1" t="s">
        <v>9</v>
      </c>
      <c r="D272" s="1" t="s">
        <v>43</v>
      </c>
      <c r="E272" s="1" t="s">
        <v>44</v>
      </c>
      <c r="F272" s="1">
        <v>9503.2999999999993</v>
      </c>
      <c r="G272" s="1">
        <v>1072.18</v>
      </c>
      <c r="H272" s="1">
        <v>113</v>
      </c>
    </row>
    <row r="273" spans="1:8" x14ac:dyDescent="0.35">
      <c r="A273" s="1" t="s">
        <v>426</v>
      </c>
      <c r="B273" s="1" t="s">
        <v>497</v>
      </c>
      <c r="C273" s="1" t="s">
        <v>60</v>
      </c>
      <c r="D273" s="1" t="s">
        <v>43</v>
      </c>
      <c r="E273" s="1" t="s">
        <v>111</v>
      </c>
      <c r="F273" s="1">
        <v>9350.9500000000007</v>
      </c>
      <c r="G273" s="1">
        <v>1559.84</v>
      </c>
      <c r="H273" s="1">
        <v>1488</v>
      </c>
    </row>
    <row r="274" spans="1:8" x14ac:dyDescent="0.35">
      <c r="A274" s="1" t="s">
        <v>498</v>
      </c>
      <c r="B274" s="1" t="s">
        <v>499</v>
      </c>
      <c r="C274" s="1" t="s">
        <v>60</v>
      </c>
      <c r="D274" s="1" t="s">
        <v>18</v>
      </c>
      <c r="E274" s="1" t="s">
        <v>19</v>
      </c>
      <c r="F274" s="1">
        <v>25076.11</v>
      </c>
      <c r="G274" s="1">
        <v>2606.15</v>
      </c>
      <c r="H274" s="1">
        <v>576</v>
      </c>
    </row>
    <row r="275" spans="1:8" x14ac:dyDescent="0.35">
      <c r="A275" s="1" t="s">
        <v>500</v>
      </c>
      <c r="B275" s="1" t="s">
        <v>501</v>
      </c>
      <c r="C275" s="1" t="s">
        <v>60</v>
      </c>
      <c r="D275" s="1" t="s">
        <v>10</v>
      </c>
      <c r="E275" s="1" t="s">
        <v>14</v>
      </c>
      <c r="F275" s="1">
        <v>37858.92</v>
      </c>
      <c r="G275" s="1">
        <v>8863.36</v>
      </c>
      <c r="H275" s="1">
        <v>1516</v>
      </c>
    </row>
    <row r="276" spans="1:8" x14ac:dyDescent="0.35">
      <c r="A276" s="1" t="s">
        <v>502</v>
      </c>
      <c r="B276" s="1" t="s">
        <v>503</v>
      </c>
      <c r="C276" s="1" t="s">
        <v>60</v>
      </c>
      <c r="D276" s="1" t="s">
        <v>18</v>
      </c>
      <c r="E276" s="1" t="s">
        <v>61</v>
      </c>
      <c r="F276" s="1">
        <v>7026.53</v>
      </c>
      <c r="G276" s="1">
        <v>1611.3</v>
      </c>
      <c r="H276" s="1">
        <v>85</v>
      </c>
    </row>
    <row r="277" spans="1:8" x14ac:dyDescent="0.35">
      <c r="A277" s="1" t="s">
        <v>417</v>
      </c>
      <c r="B277" s="1" t="s">
        <v>504</v>
      </c>
      <c r="C277" s="1" t="s">
        <v>60</v>
      </c>
      <c r="D277" s="1" t="s">
        <v>10</v>
      </c>
      <c r="E277" s="1" t="s">
        <v>14</v>
      </c>
      <c r="F277" s="1">
        <v>9294.91</v>
      </c>
      <c r="G277" s="1">
        <v>847.29</v>
      </c>
      <c r="H277" s="1">
        <v>1737</v>
      </c>
    </row>
    <row r="278" spans="1:8" x14ac:dyDescent="0.35">
      <c r="A278" s="1" t="s">
        <v>255</v>
      </c>
      <c r="B278" s="1" t="s">
        <v>505</v>
      </c>
      <c r="C278" s="1" t="s">
        <v>30</v>
      </c>
      <c r="D278" s="1" t="s">
        <v>43</v>
      </c>
      <c r="E278" s="1" t="s">
        <v>50</v>
      </c>
      <c r="F278" s="1">
        <v>24600.97</v>
      </c>
      <c r="G278" s="1">
        <v>5394.43</v>
      </c>
      <c r="H278" s="1">
        <v>1327</v>
      </c>
    </row>
    <row r="279" spans="1:8" x14ac:dyDescent="0.35">
      <c r="A279" s="1" t="s">
        <v>506</v>
      </c>
      <c r="B279" s="1" t="s">
        <v>507</v>
      </c>
      <c r="C279" s="1" t="s">
        <v>60</v>
      </c>
      <c r="D279" s="1" t="s">
        <v>43</v>
      </c>
      <c r="E279" s="1" t="s">
        <v>50</v>
      </c>
      <c r="F279" s="1">
        <v>17117.57</v>
      </c>
      <c r="G279" s="1">
        <v>2960.01</v>
      </c>
      <c r="H279" s="1">
        <v>1338</v>
      </c>
    </row>
    <row r="280" spans="1:8" x14ac:dyDescent="0.35">
      <c r="A280" s="1" t="s">
        <v>508</v>
      </c>
      <c r="B280" s="1" t="s">
        <v>509</v>
      </c>
      <c r="C280" s="1" t="s">
        <v>9</v>
      </c>
      <c r="D280" s="1" t="s">
        <v>10</v>
      </c>
      <c r="E280" s="1" t="s">
        <v>22</v>
      </c>
      <c r="F280" s="1">
        <v>16490.900000000001</v>
      </c>
      <c r="G280" s="1">
        <v>2172.87</v>
      </c>
      <c r="H280" s="1">
        <v>1981</v>
      </c>
    </row>
    <row r="281" spans="1:8" x14ac:dyDescent="0.35">
      <c r="A281" s="1" t="s">
        <v>131</v>
      </c>
      <c r="B281" s="1" t="s">
        <v>510</v>
      </c>
      <c r="C281" s="1" t="s">
        <v>9</v>
      </c>
      <c r="D281" s="1" t="s">
        <v>31</v>
      </c>
      <c r="E281" s="1" t="s">
        <v>32</v>
      </c>
      <c r="F281" s="1">
        <v>38462.949999999997</v>
      </c>
      <c r="G281" s="1">
        <v>2721.72</v>
      </c>
      <c r="H281" s="1">
        <v>1130</v>
      </c>
    </row>
    <row r="282" spans="1:8" x14ac:dyDescent="0.35">
      <c r="A282" s="1" t="s">
        <v>82</v>
      </c>
      <c r="B282" s="1" t="s">
        <v>511</v>
      </c>
      <c r="C282" s="1" t="s">
        <v>9</v>
      </c>
      <c r="D282" s="1" t="s">
        <v>43</v>
      </c>
      <c r="E282" s="1" t="s">
        <v>111</v>
      </c>
      <c r="F282" s="1">
        <v>16169.91</v>
      </c>
      <c r="G282" s="1">
        <v>1234.76</v>
      </c>
      <c r="H282" s="1">
        <v>381</v>
      </c>
    </row>
    <row r="283" spans="1:8" x14ac:dyDescent="0.35">
      <c r="A283" s="1" t="s">
        <v>512</v>
      </c>
      <c r="B283" s="1" t="s">
        <v>513</v>
      </c>
      <c r="C283" s="1" t="s">
        <v>17</v>
      </c>
      <c r="D283" s="1" t="s">
        <v>18</v>
      </c>
      <c r="E283" s="1" t="s">
        <v>61</v>
      </c>
      <c r="F283" s="1">
        <v>45294.43</v>
      </c>
      <c r="G283" s="1">
        <v>3601.04</v>
      </c>
      <c r="H283" s="1">
        <v>1790</v>
      </c>
    </row>
    <row r="284" spans="1:8" x14ac:dyDescent="0.35">
      <c r="A284" s="1" t="s">
        <v>429</v>
      </c>
      <c r="B284" s="1" t="s">
        <v>514</v>
      </c>
      <c r="C284" s="1" t="s">
        <v>9</v>
      </c>
      <c r="D284" s="1" t="s">
        <v>10</v>
      </c>
      <c r="E284" s="1" t="s">
        <v>11</v>
      </c>
      <c r="F284" s="1">
        <v>33775.629999999997</v>
      </c>
      <c r="G284" s="1">
        <v>6863.44</v>
      </c>
      <c r="H284" s="1">
        <v>1779</v>
      </c>
    </row>
    <row r="285" spans="1:8" x14ac:dyDescent="0.35">
      <c r="A285" s="1" t="s">
        <v>515</v>
      </c>
      <c r="B285" s="1" t="s">
        <v>516</v>
      </c>
      <c r="C285" s="1" t="s">
        <v>60</v>
      </c>
      <c r="D285" s="1" t="s">
        <v>10</v>
      </c>
      <c r="E285" s="1" t="s">
        <v>11</v>
      </c>
      <c r="F285" s="1">
        <v>9892.14</v>
      </c>
      <c r="G285" s="1">
        <v>1573.82</v>
      </c>
      <c r="H285" s="1">
        <v>242</v>
      </c>
    </row>
    <row r="286" spans="1:8" x14ac:dyDescent="0.35">
      <c r="A286" s="1" t="s">
        <v>517</v>
      </c>
      <c r="B286" s="1" t="s">
        <v>518</v>
      </c>
      <c r="C286" s="1" t="s">
        <v>17</v>
      </c>
      <c r="D286" s="1" t="s">
        <v>31</v>
      </c>
      <c r="E286" s="1" t="s">
        <v>53</v>
      </c>
      <c r="F286" s="1">
        <v>25674.34</v>
      </c>
      <c r="G286" s="1">
        <v>3897.85</v>
      </c>
      <c r="H286" s="1">
        <v>81</v>
      </c>
    </row>
    <row r="287" spans="1:8" x14ac:dyDescent="0.35">
      <c r="A287" s="1" t="s">
        <v>519</v>
      </c>
      <c r="B287" s="1" t="s">
        <v>520</v>
      </c>
      <c r="C287" s="1" t="s">
        <v>9</v>
      </c>
      <c r="D287" s="1" t="s">
        <v>31</v>
      </c>
      <c r="E287" s="1" t="s">
        <v>77</v>
      </c>
      <c r="F287" s="1">
        <v>23330.21</v>
      </c>
      <c r="G287" s="1">
        <v>4613.57</v>
      </c>
      <c r="H287" s="1">
        <v>1524</v>
      </c>
    </row>
    <row r="288" spans="1:8" x14ac:dyDescent="0.35">
      <c r="A288" s="1" t="s">
        <v>375</v>
      </c>
      <c r="B288" s="1" t="s">
        <v>521</v>
      </c>
      <c r="C288" s="1" t="s">
        <v>60</v>
      </c>
      <c r="D288" s="1" t="s">
        <v>10</v>
      </c>
      <c r="E288" s="1" t="s">
        <v>40</v>
      </c>
      <c r="F288" s="1">
        <v>7335.56</v>
      </c>
      <c r="G288" s="1">
        <v>771.99</v>
      </c>
      <c r="H288" s="1">
        <v>282</v>
      </c>
    </row>
    <row r="289" spans="1:8" x14ac:dyDescent="0.35">
      <c r="A289" s="1" t="s">
        <v>522</v>
      </c>
      <c r="B289" s="1" t="s">
        <v>523</v>
      </c>
      <c r="C289" s="1" t="s">
        <v>9</v>
      </c>
      <c r="D289" s="1" t="s">
        <v>43</v>
      </c>
      <c r="E289" s="1" t="s">
        <v>50</v>
      </c>
      <c r="F289" s="1">
        <v>49780.49</v>
      </c>
      <c r="G289" s="1">
        <v>9041.9500000000007</v>
      </c>
      <c r="H289" s="1">
        <v>984</v>
      </c>
    </row>
    <row r="290" spans="1:8" x14ac:dyDescent="0.35">
      <c r="A290" s="1" t="s">
        <v>524</v>
      </c>
      <c r="B290" s="1" t="s">
        <v>525</v>
      </c>
      <c r="C290" s="1" t="s">
        <v>30</v>
      </c>
      <c r="D290" s="1" t="s">
        <v>31</v>
      </c>
      <c r="E290" s="1" t="s">
        <v>74</v>
      </c>
      <c r="F290" s="1">
        <v>13427.77</v>
      </c>
      <c r="G290" s="1">
        <v>904.45</v>
      </c>
      <c r="H290" s="1">
        <v>156</v>
      </c>
    </row>
    <row r="291" spans="1:8" x14ac:dyDescent="0.35">
      <c r="A291" s="1" t="s">
        <v>377</v>
      </c>
      <c r="B291" s="1" t="s">
        <v>526</v>
      </c>
      <c r="C291" s="1" t="s">
        <v>17</v>
      </c>
      <c r="D291" s="1" t="s">
        <v>43</v>
      </c>
      <c r="E291" s="1" t="s">
        <v>50</v>
      </c>
      <c r="F291" s="1">
        <v>30040.62</v>
      </c>
      <c r="G291" s="1">
        <v>2052.89</v>
      </c>
      <c r="H291" s="1">
        <v>1623</v>
      </c>
    </row>
    <row r="292" spans="1:8" x14ac:dyDescent="0.35">
      <c r="A292" s="1" t="s">
        <v>375</v>
      </c>
      <c r="B292" s="1" t="s">
        <v>527</v>
      </c>
      <c r="C292" s="1" t="s">
        <v>60</v>
      </c>
      <c r="D292" s="1" t="s">
        <v>43</v>
      </c>
      <c r="E292" s="1" t="s">
        <v>50</v>
      </c>
      <c r="F292" s="1">
        <v>34156.25</v>
      </c>
      <c r="G292" s="1">
        <v>5364.38</v>
      </c>
      <c r="H292" s="1">
        <v>1954</v>
      </c>
    </row>
    <row r="293" spans="1:8" x14ac:dyDescent="0.35">
      <c r="A293" s="1" t="s">
        <v>528</v>
      </c>
      <c r="B293" s="1" t="s">
        <v>529</v>
      </c>
      <c r="C293" s="1" t="s">
        <v>30</v>
      </c>
      <c r="D293" s="1" t="s">
        <v>43</v>
      </c>
      <c r="E293" s="1" t="s">
        <v>47</v>
      </c>
      <c r="F293" s="1">
        <v>29785.78</v>
      </c>
      <c r="G293" s="1">
        <v>6911.13</v>
      </c>
      <c r="H293" s="1">
        <v>1571</v>
      </c>
    </row>
    <row r="294" spans="1:8" x14ac:dyDescent="0.35">
      <c r="A294" s="1" t="s">
        <v>530</v>
      </c>
      <c r="B294" s="1" t="s">
        <v>531</v>
      </c>
      <c r="C294" s="1" t="s">
        <v>17</v>
      </c>
      <c r="D294" s="1" t="s">
        <v>10</v>
      </c>
      <c r="E294" s="1" t="s">
        <v>22</v>
      </c>
      <c r="F294" s="1">
        <v>26803.57</v>
      </c>
      <c r="G294" s="1">
        <v>4640.29</v>
      </c>
      <c r="H294" s="1">
        <v>671</v>
      </c>
    </row>
    <row r="295" spans="1:8" x14ac:dyDescent="0.35">
      <c r="A295" s="1" t="s">
        <v>532</v>
      </c>
      <c r="B295" s="1" t="s">
        <v>533</v>
      </c>
      <c r="C295" s="1" t="s">
        <v>30</v>
      </c>
      <c r="D295" s="1" t="s">
        <v>18</v>
      </c>
      <c r="E295" s="1" t="s">
        <v>92</v>
      </c>
      <c r="F295" s="1">
        <v>32202.400000000001</v>
      </c>
      <c r="G295" s="1">
        <v>5638.95</v>
      </c>
      <c r="H295" s="1">
        <v>1637</v>
      </c>
    </row>
    <row r="296" spans="1:8" x14ac:dyDescent="0.35">
      <c r="A296" s="1" t="s">
        <v>269</v>
      </c>
      <c r="B296" s="1" t="s">
        <v>534</v>
      </c>
      <c r="C296" s="1" t="s">
        <v>9</v>
      </c>
      <c r="D296" s="1" t="s">
        <v>31</v>
      </c>
      <c r="E296" s="1" t="s">
        <v>32</v>
      </c>
      <c r="F296" s="1">
        <v>562.96</v>
      </c>
      <c r="G296" s="1">
        <v>68.72</v>
      </c>
      <c r="H296" s="1">
        <v>620</v>
      </c>
    </row>
    <row r="297" spans="1:8" x14ac:dyDescent="0.35">
      <c r="A297" s="1" t="s">
        <v>535</v>
      </c>
      <c r="B297" s="1" t="s">
        <v>536</v>
      </c>
      <c r="C297" s="1" t="s">
        <v>17</v>
      </c>
      <c r="D297" s="1" t="s">
        <v>43</v>
      </c>
      <c r="E297" s="1" t="s">
        <v>111</v>
      </c>
      <c r="F297" s="1">
        <v>11991.3</v>
      </c>
      <c r="G297" s="1">
        <v>1127.25</v>
      </c>
      <c r="H297" s="1">
        <v>916</v>
      </c>
    </row>
    <row r="298" spans="1:8" x14ac:dyDescent="0.35">
      <c r="A298" s="1" t="s">
        <v>253</v>
      </c>
      <c r="B298" s="1" t="s">
        <v>537</v>
      </c>
      <c r="C298" s="1" t="s">
        <v>9</v>
      </c>
      <c r="D298" s="1" t="s">
        <v>31</v>
      </c>
      <c r="E298" s="1" t="s">
        <v>53</v>
      </c>
      <c r="F298" s="1">
        <v>11239.58</v>
      </c>
      <c r="G298" s="1">
        <v>602.4</v>
      </c>
      <c r="H298" s="1">
        <v>1773</v>
      </c>
    </row>
    <row r="299" spans="1:8" x14ac:dyDescent="0.35">
      <c r="A299" s="1" t="s">
        <v>255</v>
      </c>
      <c r="B299" s="1" t="s">
        <v>538</v>
      </c>
      <c r="C299" s="1" t="s">
        <v>60</v>
      </c>
      <c r="D299" s="1" t="s">
        <v>18</v>
      </c>
      <c r="E299" s="1" t="s">
        <v>61</v>
      </c>
      <c r="F299" s="1">
        <v>2331.96</v>
      </c>
      <c r="G299" s="1">
        <v>446.83</v>
      </c>
      <c r="H299" s="1">
        <v>1861</v>
      </c>
    </row>
    <row r="300" spans="1:8" x14ac:dyDescent="0.35">
      <c r="A300" s="1" t="s">
        <v>421</v>
      </c>
      <c r="B300" s="1" t="s">
        <v>539</v>
      </c>
      <c r="C300" s="1" t="s">
        <v>30</v>
      </c>
      <c r="D300" s="1" t="s">
        <v>18</v>
      </c>
      <c r="E300" s="1" t="s">
        <v>61</v>
      </c>
      <c r="F300" s="1">
        <v>2861.49</v>
      </c>
      <c r="G300" s="1">
        <v>417.15</v>
      </c>
      <c r="H300" s="1">
        <v>865</v>
      </c>
    </row>
    <row r="301" spans="1:8" x14ac:dyDescent="0.35">
      <c r="A301" s="1" t="s">
        <v>540</v>
      </c>
      <c r="B301" s="1" t="s">
        <v>541</v>
      </c>
      <c r="C301" s="1" t="s">
        <v>9</v>
      </c>
      <c r="D301" s="1" t="s">
        <v>31</v>
      </c>
      <c r="E301" s="1" t="s">
        <v>74</v>
      </c>
      <c r="F301" s="1">
        <v>39120.449999999997</v>
      </c>
      <c r="G301" s="1">
        <v>5399.5</v>
      </c>
      <c r="H301" s="1">
        <v>962</v>
      </c>
    </row>
    <row r="302" spans="1:8" x14ac:dyDescent="0.35">
      <c r="A302" s="1" t="s">
        <v>180</v>
      </c>
      <c r="B302" s="1" t="s">
        <v>542</v>
      </c>
      <c r="C302" s="1" t="s">
        <v>17</v>
      </c>
      <c r="D302" s="1" t="s">
        <v>43</v>
      </c>
      <c r="E302" s="1" t="s">
        <v>44</v>
      </c>
      <c r="F302" s="1">
        <v>42605.39</v>
      </c>
      <c r="G302" s="1">
        <v>5104.83</v>
      </c>
      <c r="H302" s="1">
        <v>1806</v>
      </c>
    </row>
    <row r="303" spans="1:8" x14ac:dyDescent="0.35">
      <c r="A303" s="1" t="s">
        <v>543</v>
      </c>
      <c r="B303" s="1" t="s">
        <v>544</v>
      </c>
      <c r="C303" s="1" t="s">
        <v>17</v>
      </c>
      <c r="D303" s="1" t="s">
        <v>18</v>
      </c>
      <c r="E303" s="1" t="s">
        <v>92</v>
      </c>
      <c r="F303" s="1">
        <v>45103.46</v>
      </c>
      <c r="G303" s="1">
        <v>5018.1499999999996</v>
      </c>
      <c r="H303" s="1">
        <v>1077</v>
      </c>
    </row>
    <row r="304" spans="1:8" x14ac:dyDescent="0.35">
      <c r="A304" s="1" t="s">
        <v>545</v>
      </c>
      <c r="B304" s="1" t="s">
        <v>546</v>
      </c>
      <c r="C304" s="1" t="s">
        <v>30</v>
      </c>
      <c r="D304" s="1" t="s">
        <v>10</v>
      </c>
      <c r="E304" s="1" t="s">
        <v>40</v>
      </c>
      <c r="F304" s="1">
        <v>10492.31</v>
      </c>
      <c r="G304" s="1">
        <v>2410.65</v>
      </c>
      <c r="H304" s="1">
        <v>1894</v>
      </c>
    </row>
    <row r="305" spans="1:8" x14ac:dyDescent="0.35">
      <c r="A305" s="1" t="s">
        <v>547</v>
      </c>
      <c r="B305" s="1" t="s">
        <v>548</v>
      </c>
      <c r="C305" s="1" t="s">
        <v>60</v>
      </c>
      <c r="D305" s="1" t="s">
        <v>10</v>
      </c>
      <c r="E305" s="1" t="s">
        <v>22</v>
      </c>
      <c r="F305" s="1">
        <v>20142.740000000002</v>
      </c>
      <c r="G305" s="1">
        <v>2155.98</v>
      </c>
      <c r="H305" s="1">
        <v>13</v>
      </c>
    </row>
    <row r="306" spans="1:8" x14ac:dyDescent="0.35">
      <c r="A306" s="1" t="s">
        <v>95</v>
      </c>
      <c r="B306" s="1" t="s">
        <v>549</v>
      </c>
      <c r="C306" s="1" t="s">
        <v>17</v>
      </c>
      <c r="D306" s="1" t="s">
        <v>31</v>
      </c>
      <c r="E306" s="1" t="s">
        <v>32</v>
      </c>
      <c r="F306" s="1">
        <v>32693.439999999999</v>
      </c>
      <c r="G306" s="1">
        <v>3946.78</v>
      </c>
      <c r="H306" s="1">
        <v>1763</v>
      </c>
    </row>
    <row r="307" spans="1:8" x14ac:dyDescent="0.35">
      <c r="A307" s="1" t="s">
        <v>458</v>
      </c>
      <c r="B307" s="1" t="s">
        <v>550</v>
      </c>
      <c r="C307" s="1" t="s">
        <v>17</v>
      </c>
      <c r="D307" s="1" t="s">
        <v>31</v>
      </c>
      <c r="E307" s="1" t="s">
        <v>74</v>
      </c>
      <c r="F307" s="1">
        <v>36443.72</v>
      </c>
      <c r="G307" s="1">
        <v>2311.06</v>
      </c>
      <c r="H307" s="1">
        <v>803</v>
      </c>
    </row>
    <row r="308" spans="1:8" x14ac:dyDescent="0.35">
      <c r="A308" s="1" t="s">
        <v>551</v>
      </c>
      <c r="B308" s="1" t="s">
        <v>552</v>
      </c>
      <c r="C308" s="1" t="s">
        <v>30</v>
      </c>
      <c r="D308" s="1" t="s">
        <v>43</v>
      </c>
      <c r="E308" s="1" t="s">
        <v>44</v>
      </c>
      <c r="F308" s="1">
        <v>35697.129999999997</v>
      </c>
      <c r="G308" s="1">
        <v>5087.99</v>
      </c>
      <c r="H308" s="1">
        <v>661</v>
      </c>
    </row>
    <row r="309" spans="1:8" x14ac:dyDescent="0.35">
      <c r="A309" s="1" t="s">
        <v>162</v>
      </c>
      <c r="B309" s="1" t="s">
        <v>553</v>
      </c>
      <c r="C309" s="1" t="s">
        <v>17</v>
      </c>
      <c r="D309" s="1" t="s">
        <v>18</v>
      </c>
      <c r="E309" s="1" t="s">
        <v>25</v>
      </c>
      <c r="F309" s="1">
        <v>3194.28</v>
      </c>
      <c r="G309" s="1">
        <v>283.88</v>
      </c>
      <c r="H309" s="1">
        <v>1120</v>
      </c>
    </row>
    <row r="310" spans="1:8" x14ac:dyDescent="0.35">
      <c r="A310" s="1" t="s">
        <v>335</v>
      </c>
      <c r="B310" s="1" t="s">
        <v>554</v>
      </c>
      <c r="C310" s="1" t="s">
        <v>9</v>
      </c>
      <c r="D310" s="1" t="s">
        <v>18</v>
      </c>
      <c r="E310" s="1" t="s">
        <v>25</v>
      </c>
      <c r="F310" s="1">
        <v>13691.79</v>
      </c>
      <c r="G310" s="1">
        <v>1095.99</v>
      </c>
      <c r="H310" s="1">
        <v>672</v>
      </c>
    </row>
    <row r="311" spans="1:8" x14ac:dyDescent="0.35">
      <c r="A311" s="1" t="s">
        <v>555</v>
      </c>
      <c r="B311" s="1" t="s">
        <v>556</v>
      </c>
      <c r="C311" s="1" t="s">
        <v>9</v>
      </c>
      <c r="D311" s="1" t="s">
        <v>10</v>
      </c>
      <c r="E311" s="1" t="s">
        <v>11</v>
      </c>
      <c r="F311" s="1">
        <v>37871.39</v>
      </c>
      <c r="G311" s="1">
        <v>8882.1</v>
      </c>
      <c r="H311" s="1">
        <v>415</v>
      </c>
    </row>
    <row r="312" spans="1:8" x14ac:dyDescent="0.35">
      <c r="A312" s="1" t="s">
        <v>557</v>
      </c>
      <c r="B312" s="1" t="s">
        <v>558</v>
      </c>
      <c r="C312" s="1" t="s">
        <v>17</v>
      </c>
      <c r="D312" s="1" t="s">
        <v>43</v>
      </c>
      <c r="E312" s="1" t="s">
        <v>44</v>
      </c>
      <c r="F312" s="1">
        <v>19879.240000000002</v>
      </c>
      <c r="G312" s="1">
        <v>2982.52</v>
      </c>
      <c r="H312" s="1">
        <v>267</v>
      </c>
    </row>
    <row r="313" spans="1:8" x14ac:dyDescent="0.35">
      <c r="A313" s="1" t="s">
        <v>75</v>
      </c>
      <c r="B313" s="1" t="s">
        <v>559</v>
      </c>
      <c r="C313" s="1" t="s">
        <v>17</v>
      </c>
      <c r="D313" s="1" t="s">
        <v>31</v>
      </c>
      <c r="E313" s="1" t="s">
        <v>74</v>
      </c>
      <c r="F313" s="1">
        <v>28679.84</v>
      </c>
      <c r="G313" s="1">
        <v>2123.59</v>
      </c>
      <c r="H313" s="1">
        <v>722</v>
      </c>
    </row>
    <row r="314" spans="1:8" x14ac:dyDescent="0.35">
      <c r="A314" s="1" t="s">
        <v>45</v>
      </c>
      <c r="B314" s="1" t="s">
        <v>560</v>
      </c>
      <c r="C314" s="1" t="s">
        <v>60</v>
      </c>
      <c r="D314" s="1" t="s">
        <v>10</v>
      </c>
      <c r="E314" s="1" t="s">
        <v>22</v>
      </c>
      <c r="F314" s="1">
        <v>42766.36</v>
      </c>
      <c r="G314" s="1">
        <v>8203.68</v>
      </c>
      <c r="H314" s="1">
        <v>144</v>
      </c>
    </row>
    <row r="315" spans="1:8" x14ac:dyDescent="0.35">
      <c r="A315" s="1" t="s">
        <v>257</v>
      </c>
      <c r="B315" s="1" t="s">
        <v>561</v>
      </c>
      <c r="C315" s="1" t="s">
        <v>60</v>
      </c>
      <c r="D315" s="1" t="s">
        <v>18</v>
      </c>
      <c r="E315" s="1" t="s">
        <v>25</v>
      </c>
      <c r="F315" s="1">
        <v>43799.23</v>
      </c>
      <c r="G315" s="1">
        <v>8185.31</v>
      </c>
      <c r="H315" s="1">
        <v>1593</v>
      </c>
    </row>
    <row r="316" spans="1:8" x14ac:dyDescent="0.35">
      <c r="A316" s="1" t="s">
        <v>180</v>
      </c>
      <c r="B316" s="1" t="s">
        <v>562</v>
      </c>
      <c r="C316" s="1" t="s">
        <v>9</v>
      </c>
      <c r="D316" s="1" t="s">
        <v>18</v>
      </c>
      <c r="E316" s="1" t="s">
        <v>92</v>
      </c>
      <c r="F316" s="1">
        <v>19893.45</v>
      </c>
      <c r="G316" s="1">
        <v>1127.1400000000001</v>
      </c>
      <c r="H316" s="1">
        <v>1807</v>
      </c>
    </row>
    <row r="317" spans="1:8" x14ac:dyDescent="0.35">
      <c r="A317" s="1" t="s">
        <v>443</v>
      </c>
      <c r="B317" s="1" t="s">
        <v>563</v>
      </c>
      <c r="C317" s="1" t="s">
        <v>30</v>
      </c>
      <c r="D317" s="1" t="s">
        <v>10</v>
      </c>
      <c r="E317" s="1" t="s">
        <v>22</v>
      </c>
      <c r="F317" s="1">
        <v>20282.759999999998</v>
      </c>
      <c r="G317" s="1">
        <v>2575.2399999999998</v>
      </c>
      <c r="H317" s="1">
        <v>1046</v>
      </c>
    </row>
    <row r="318" spans="1:8" x14ac:dyDescent="0.35">
      <c r="A318" s="1" t="s">
        <v>564</v>
      </c>
      <c r="B318" s="1" t="s">
        <v>565</v>
      </c>
      <c r="C318" s="1" t="s">
        <v>30</v>
      </c>
      <c r="D318" s="1" t="s">
        <v>31</v>
      </c>
      <c r="E318" s="1" t="s">
        <v>74</v>
      </c>
      <c r="F318" s="1">
        <v>49109.33</v>
      </c>
      <c r="G318" s="1">
        <v>9324.9599999999991</v>
      </c>
      <c r="H318" s="1">
        <v>947</v>
      </c>
    </row>
    <row r="319" spans="1:8" x14ac:dyDescent="0.35">
      <c r="A319" s="1" t="s">
        <v>247</v>
      </c>
      <c r="B319" s="1" t="s">
        <v>566</v>
      </c>
      <c r="C319" s="1" t="s">
        <v>9</v>
      </c>
      <c r="D319" s="1" t="s">
        <v>43</v>
      </c>
      <c r="E319" s="1" t="s">
        <v>50</v>
      </c>
      <c r="F319" s="1">
        <v>15895.48</v>
      </c>
      <c r="G319" s="1">
        <v>3731.2</v>
      </c>
      <c r="H319" s="1">
        <v>20</v>
      </c>
    </row>
    <row r="320" spans="1:8" x14ac:dyDescent="0.35">
      <c r="A320" s="1" t="s">
        <v>259</v>
      </c>
      <c r="B320" s="1" t="s">
        <v>567</v>
      </c>
      <c r="C320" s="1" t="s">
        <v>17</v>
      </c>
      <c r="D320" s="1" t="s">
        <v>43</v>
      </c>
      <c r="E320" s="1" t="s">
        <v>50</v>
      </c>
      <c r="F320" s="1">
        <v>35326.959999999999</v>
      </c>
      <c r="G320" s="1">
        <v>5025.8599999999997</v>
      </c>
      <c r="H320" s="1">
        <v>1117</v>
      </c>
    </row>
    <row r="321" spans="1:8" x14ac:dyDescent="0.35">
      <c r="A321" s="1" t="s">
        <v>413</v>
      </c>
      <c r="B321" s="1" t="s">
        <v>568</v>
      </c>
      <c r="C321" s="1" t="s">
        <v>9</v>
      </c>
      <c r="D321" s="1" t="s">
        <v>18</v>
      </c>
      <c r="E321" s="1" t="s">
        <v>19</v>
      </c>
      <c r="F321" s="1">
        <v>29184.36</v>
      </c>
      <c r="G321" s="1">
        <v>4614.99</v>
      </c>
      <c r="H321" s="1">
        <v>204</v>
      </c>
    </row>
    <row r="322" spans="1:8" x14ac:dyDescent="0.35">
      <c r="A322" s="1" t="s">
        <v>285</v>
      </c>
      <c r="B322" s="1" t="s">
        <v>569</v>
      </c>
      <c r="C322" s="1" t="s">
        <v>17</v>
      </c>
      <c r="D322" s="1" t="s">
        <v>31</v>
      </c>
      <c r="E322" s="1" t="s">
        <v>53</v>
      </c>
      <c r="F322" s="1">
        <v>23399.97</v>
      </c>
      <c r="G322" s="1">
        <v>4055.21</v>
      </c>
      <c r="H322" s="1">
        <v>1368</v>
      </c>
    </row>
    <row r="323" spans="1:8" x14ac:dyDescent="0.35">
      <c r="A323" s="1" t="s">
        <v>570</v>
      </c>
      <c r="B323" s="1" t="s">
        <v>571</v>
      </c>
      <c r="C323" s="1" t="s">
        <v>30</v>
      </c>
      <c r="D323" s="1" t="s">
        <v>31</v>
      </c>
      <c r="E323" s="1" t="s">
        <v>53</v>
      </c>
      <c r="F323" s="1">
        <v>31121.88</v>
      </c>
      <c r="G323" s="1">
        <v>2020.7</v>
      </c>
      <c r="H323" s="1">
        <v>1849</v>
      </c>
    </row>
    <row r="324" spans="1:8" x14ac:dyDescent="0.35">
      <c r="A324" s="1" t="s">
        <v>572</v>
      </c>
      <c r="B324" s="1" t="s">
        <v>573</v>
      </c>
      <c r="C324" s="1" t="s">
        <v>9</v>
      </c>
      <c r="D324" s="1" t="s">
        <v>31</v>
      </c>
      <c r="E324" s="1" t="s">
        <v>77</v>
      </c>
      <c r="F324" s="1">
        <v>14276.85</v>
      </c>
      <c r="G324" s="1">
        <v>2568.37</v>
      </c>
      <c r="H324" s="1">
        <v>1692</v>
      </c>
    </row>
    <row r="325" spans="1:8" x14ac:dyDescent="0.35">
      <c r="A325" s="1" t="s">
        <v>564</v>
      </c>
      <c r="B325" s="1" t="s">
        <v>574</v>
      </c>
      <c r="C325" s="1" t="s">
        <v>17</v>
      </c>
      <c r="D325" s="1" t="s">
        <v>43</v>
      </c>
      <c r="E325" s="1" t="s">
        <v>111</v>
      </c>
      <c r="F325" s="1">
        <v>26186.06</v>
      </c>
      <c r="G325" s="1">
        <v>1701.54</v>
      </c>
      <c r="H325" s="1">
        <v>280</v>
      </c>
    </row>
    <row r="326" spans="1:8" x14ac:dyDescent="0.35">
      <c r="A326" s="1" t="s">
        <v>33</v>
      </c>
      <c r="B326" s="1" t="s">
        <v>575</v>
      </c>
      <c r="C326" s="1" t="s">
        <v>30</v>
      </c>
      <c r="D326" s="1" t="s">
        <v>18</v>
      </c>
      <c r="E326" s="1" t="s">
        <v>19</v>
      </c>
      <c r="F326" s="1">
        <v>2370.23</v>
      </c>
      <c r="G326" s="1">
        <v>480.82</v>
      </c>
      <c r="H326" s="1">
        <v>1460</v>
      </c>
    </row>
    <row r="327" spans="1:8" x14ac:dyDescent="0.35">
      <c r="A327" s="1" t="s">
        <v>576</v>
      </c>
      <c r="B327" s="1" t="s">
        <v>577</v>
      </c>
      <c r="C327" s="1" t="s">
        <v>17</v>
      </c>
      <c r="D327" s="1" t="s">
        <v>10</v>
      </c>
      <c r="E327" s="1" t="s">
        <v>14</v>
      </c>
      <c r="F327" s="1">
        <v>14477.09</v>
      </c>
      <c r="G327" s="1">
        <v>850.02</v>
      </c>
      <c r="H327" s="1">
        <v>460</v>
      </c>
    </row>
    <row r="328" spans="1:8" x14ac:dyDescent="0.35">
      <c r="A328" s="1" t="s">
        <v>310</v>
      </c>
      <c r="B328" s="1" t="s">
        <v>578</v>
      </c>
      <c r="C328" s="1" t="s">
        <v>30</v>
      </c>
      <c r="D328" s="1" t="s">
        <v>43</v>
      </c>
      <c r="E328" s="1" t="s">
        <v>44</v>
      </c>
      <c r="F328" s="1">
        <v>36867.22</v>
      </c>
      <c r="G328" s="1">
        <v>3041.28</v>
      </c>
      <c r="H328" s="1">
        <v>742</v>
      </c>
    </row>
    <row r="329" spans="1:8" x14ac:dyDescent="0.35">
      <c r="A329" s="1" t="s">
        <v>579</v>
      </c>
      <c r="B329" s="1" t="s">
        <v>580</v>
      </c>
      <c r="C329" s="1" t="s">
        <v>17</v>
      </c>
      <c r="D329" s="1" t="s">
        <v>31</v>
      </c>
      <c r="E329" s="1" t="s">
        <v>77</v>
      </c>
      <c r="F329" s="1">
        <v>33490.5</v>
      </c>
      <c r="G329" s="1">
        <v>3732.98</v>
      </c>
      <c r="H329" s="1">
        <v>1653</v>
      </c>
    </row>
    <row r="330" spans="1:8" x14ac:dyDescent="0.35">
      <c r="A330" s="1" t="s">
        <v>168</v>
      </c>
      <c r="B330" s="1" t="s">
        <v>581</v>
      </c>
      <c r="C330" s="1" t="s">
        <v>9</v>
      </c>
      <c r="D330" s="1" t="s">
        <v>10</v>
      </c>
      <c r="E330" s="1" t="s">
        <v>22</v>
      </c>
      <c r="F330" s="1">
        <v>27422.46</v>
      </c>
      <c r="G330" s="1">
        <v>5401.06</v>
      </c>
      <c r="H330" s="1">
        <v>471</v>
      </c>
    </row>
    <row r="331" spans="1:8" x14ac:dyDescent="0.35">
      <c r="A331" s="1" t="s">
        <v>90</v>
      </c>
      <c r="B331" s="1" t="s">
        <v>582</v>
      </c>
      <c r="C331" s="1" t="s">
        <v>60</v>
      </c>
      <c r="D331" s="1" t="s">
        <v>43</v>
      </c>
      <c r="E331" s="1" t="s">
        <v>50</v>
      </c>
      <c r="F331" s="1">
        <v>18958.46</v>
      </c>
      <c r="G331" s="1">
        <v>4047.22</v>
      </c>
      <c r="H331" s="1">
        <v>1735</v>
      </c>
    </row>
    <row r="332" spans="1:8" x14ac:dyDescent="0.35">
      <c r="A332" s="1" t="s">
        <v>137</v>
      </c>
      <c r="B332" s="1" t="s">
        <v>583</v>
      </c>
      <c r="C332" s="1" t="s">
        <v>9</v>
      </c>
      <c r="D332" s="1" t="s">
        <v>10</v>
      </c>
      <c r="E332" s="1" t="s">
        <v>22</v>
      </c>
      <c r="F332" s="1">
        <v>25785.919999999998</v>
      </c>
      <c r="G332" s="1">
        <v>4502.7</v>
      </c>
      <c r="H332" s="1">
        <v>323</v>
      </c>
    </row>
    <row r="333" spans="1:8" x14ac:dyDescent="0.35">
      <c r="A333" s="1" t="s">
        <v>449</v>
      </c>
      <c r="B333" s="1" t="s">
        <v>584</v>
      </c>
      <c r="C333" s="1" t="s">
        <v>9</v>
      </c>
      <c r="D333" s="1" t="s">
        <v>31</v>
      </c>
      <c r="E333" s="1" t="s">
        <v>77</v>
      </c>
      <c r="F333" s="1">
        <v>31184.54</v>
      </c>
      <c r="G333" s="1">
        <v>2637.85</v>
      </c>
      <c r="H333" s="1">
        <v>1433</v>
      </c>
    </row>
    <row r="334" spans="1:8" x14ac:dyDescent="0.35">
      <c r="A334" s="1" t="s">
        <v>585</v>
      </c>
      <c r="B334" s="1" t="s">
        <v>586</v>
      </c>
      <c r="C334" s="1" t="s">
        <v>30</v>
      </c>
      <c r="D334" s="1" t="s">
        <v>31</v>
      </c>
      <c r="E334" s="1" t="s">
        <v>32</v>
      </c>
      <c r="F334" s="1">
        <v>34586.75</v>
      </c>
      <c r="G334" s="1">
        <v>7110.33</v>
      </c>
      <c r="H334" s="1">
        <v>972</v>
      </c>
    </row>
    <row r="335" spans="1:8" x14ac:dyDescent="0.35">
      <c r="A335" s="1" t="s">
        <v>587</v>
      </c>
      <c r="B335" s="1" t="s">
        <v>588</v>
      </c>
      <c r="C335" s="1" t="s">
        <v>30</v>
      </c>
      <c r="D335" s="1" t="s">
        <v>18</v>
      </c>
      <c r="E335" s="1" t="s">
        <v>61</v>
      </c>
      <c r="F335" s="1">
        <v>38872.300000000003</v>
      </c>
      <c r="G335" s="1">
        <v>5701.67</v>
      </c>
      <c r="H335" s="1">
        <v>1522</v>
      </c>
    </row>
    <row r="336" spans="1:8" x14ac:dyDescent="0.35">
      <c r="A336" s="1" t="s">
        <v>145</v>
      </c>
      <c r="B336" s="1" t="s">
        <v>589</v>
      </c>
      <c r="C336" s="1" t="s">
        <v>17</v>
      </c>
      <c r="D336" s="1" t="s">
        <v>43</v>
      </c>
      <c r="E336" s="1" t="s">
        <v>47</v>
      </c>
      <c r="F336" s="1">
        <v>43878.879999999997</v>
      </c>
      <c r="G336" s="1">
        <v>2583.23</v>
      </c>
      <c r="H336" s="1">
        <v>134</v>
      </c>
    </row>
    <row r="337" spans="1:8" x14ac:dyDescent="0.35">
      <c r="A337" s="1" t="s">
        <v>590</v>
      </c>
      <c r="B337" s="1" t="s">
        <v>591</v>
      </c>
      <c r="C337" s="1" t="s">
        <v>60</v>
      </c>
      <c r="D337" s="1" t="s">
        <v>31</v>
      </c>
      <c r="E337" s="1" t="s">
        <v>53</v>
      </c>
      <c r="F337" s="1">
        <v>37243.61</v>
      </c>
      <c r="G337" s="1">
        <v>8457.44</v>
      </c>
      <c r="H337" s="1">
        <v>828</v>
      </c>
    </row>
    <row r="338" spans="1:8" x14ac:dyDescent="0.35">
      <c r="A338" s="1" t="s">
        <v>592</v>
      </c>
      <c r="B338" s="1" t="s">
        <v>593</v>
      </c>
      <c r="C338" s="1" t="s">
        <v>9</v>
      </c>
      <c r="D338" s="1" t="s">
        <v>10</v>
      </c>
      <c r="E338" s="1" t="s">
        <v>11</v>
      </c>
      <c r="F338" s="1">
        <v>42717.45</v>
      </c>
      <c r="G338" s="1">
        <v>8615.35</v>
      </c>
      <c r="H338" s="1">
        <v>1702</v>
      </c>
    </row>
    <row r="339" spans="1:8" x14ac:dyDescent="0.35">
      <c r="A339" s="1" t="s">
        <v>357</v>
      </c>
      <c r="B339" s="1" t="s">
        <v>594</v>
      </c>
      <c r="C339" s="1" t="s">
        <v>30</v>
      </c>
      <c r="D339" s="1" t="s">
        <v>18</v>
      </c>
      <c r="E339" s="1" t="s">
        <v>19</v>
      </c>
      <c r="F339" s="1">
        <v>45054.97</v>
      </c>
      <c r="G339" s="1">
        <v>10749.84</v>
      </c>
      <c r="H339" s="1">
        <v>1271</v>
      </c>
    </row>
    <row r="340" spans="1:8" x14ac:dyDescent="0.35">
      <c r="A340" s="1" t="s">
        <v>388</v>
      </c>
      <c r="B340" s="1" t="s">
        <v>595</v>
      </c>
      <c r="C340" s="1" t="s">
        <v>30</v>
      </c>
      <c r="D340" s="1" t="s">
        <v>18</v>
      </c>
      <c r="E340" s="1" t="s">
        <v>25</v>
      </c>
      <c r="F340" s="1">
        <v>33357.86</v>
      </c>
      <c r="G340" s="1">
        <v>1947.63</v>
      </c>
      <c r="H340" s="1">
        <v>744</v>
      </c>
    </row>
    <row r="341" spans="1:8" x14ac:dyDescent="0.35">
      <c r="A341" s="1" t="s">
        <v>164</v>
      </c>
      <c r="B341" s="1" t="s">
        <v>596</v>
      </c>
      <c r="C341" s="1" t="s">
        <v>17</v>
      </c>
      <c r="D341" s="1" t="s">
        <v>43</v>
      </c>
      <c r="E341" s="1" t="s">
        <v>47</v>
      </c>
      <c r="F341" s="1">
        <v>7597.49</v>
      </c>
      <c r="G341" s="1">
        <v>1736.15</v>
      </c>
      <c r="H341" s="1">
        <v>1504</v>
      </c>
    </row>
    <row r="342" spans="1:8" x14ac:dyDescent="0.35">
      <c r="A342" s="1" t="s">
        <v>597</v>
      </c>
      <c r="B342" s="1" t="s">
        <v>598</v>
      </c>
      <c r="C342" s="1" t="s">
        <v>30</v>
      </c>
      <c r="D342" s="1" t="s">
        <v>10</v>
      </c>
      <c r="E342" s="1" t="s">
        <v>14</v>
      </c>
      <c r="F342" s="1">
        <v>24948.63</v>
      </c>
      <c r="G342" s="1">
        <v>5197.6099999999997</v>
      </c>
      <c r="H342" s="1">
        <v>209</v>
      </c>
    </row>
    <row r="343" spans="1:8" x14ac:dyDescent="0.35">
      <c r="A343" s="1" t="s">
        <v>572</v>
      </c>
      <c r="B343" s="1" t="s">
        <v>599</v>
      </c>
      <c r="C343" s="1" t="s">
        <v>9</v>
      </c>
      <c r="D343" s="1" t="s">
        <v>31</v>
      </c>
      <c r="E343" s="1" t="s">
        <v>77</v>
      </c>
      <c r="F343" s="1">
        <v>3375.99</v>
      </c>
      <c r="G343" s="1">
        <v>212.71</v>
      </c>
      <c r="H343" s="1">
        <v>734</v>
      </c>
    </row>
    <row r="344" spans="1:8" x14ac:dyDescent="0.35">
      <c r="A344" s="1" t="s">
        <v>600</v>
      </c>
      <c r="B344" s="1" t="s">
        <v>601</v>
      </c>
      <c r="C344" s="1" t="s">
        <v>60</v>
      </c>
      <c r="D344" s="1" t="s">
        <v>43</v>
      </c>
      <c r="E344" s="1" t="s">
        <v>50</v>
      </c>
      <c r="F344" s="1">
        <v>26987.69</v>
      </c>
      <c r="G344" s="1">
        <v>2569.62</v>
      </c>
      <c r="H344" s="1">
        <v>1300</v>
      </c>
    </row>
    <row r="345" spans="1:8" x14ac:dyDescent="0.35">
      <c r="A345" s="1" t="s">
        <v>602</v>
      </c>
      <c r="B345" s="1" t="s">
        <v>603</v>
      </c>
      <c r="C345" s="1" t="s">
        <v>9</v>
      </c>
      <c r="D345" s="1" t="s">
        <v>10</v>
      </c>
      <c r="E345" s="1" t="s">
        <v>14</v>
      </c>
      <c r="F345" s="1">
        <v>49886.9</v>
      </c>
      <c r="G345" s="1">
        <v>7731.02</v>
      </c>
      <c r="H345" s="1">
        <v>1745</v>
      </c>
    </row>
    <row r="346" spans="1:8" x14ac:dyDescent="0.35">
      <c r="A346" s="1" t="s">
        <v>604</v>
      </c>
      <c r="B346" s="1" t="s">
        <v>605</v>
      </c>
      <c r="C346" s="1" t="s">
        <v>17</v>
      </c>
      <c r="D346" s="1" t="s">
        <v>10</v>
      </c>
      <c r="E346" s="1" t="s">
        <v>40</v>
      </c>
      <c r="F346" s="1">
        <v>44041.32</v>
      </c>
      <c r="G346" s="1">
        <v>8970.7199999999993</v>
      </c>
      <c r="H346" s="1">
        <v>1920</v>
      </c>
    </row>
    <row r="347" spans="1:8" x14ac:dyDescent="0.35">
      <c r="A347" s="1" t="s">
        <v>606</v>
      </c>
      <c r="B347" s="1" t="s">
        <v>607</v>
      </c>
      <c r="C347" s="1" t="s">
        <v>60</v>
      </c>
      <c r="D347" s="1" t="s">
        <v>10</v>
      </c>
      <c r="E347" s="1" t="s">
        <v>40</v>
      </c>
      <c r="F347" s="1">
        <v>15426.33</v>
      </c>
      <c r="G347" s="1">
        <v>1438.52</v>
      </c>
      <c r="H347" s="1">
        <v>86</v>
      </c>
    </row>
    <row r="348" spans="1:8" x14ac:dyDescent="0.35">
      <c r="A348" s="1" t="s">
        <v>547</v>
      </c>
      <c r="B348" s="1" t="s">
        <v>608</v>
      </c>
      <c r="C348" s="1" t="s">
        <v>9</v>
      </c>
      <c r="D348" s="1" t="s">
        <v>18</v>
      </c>
      <c r="E348" s="1" t="s">
        <v>92</v>
      </c>
      <c r="F348" s="1">
        <v>27194.67</v>
      </c>
      <c r="G348" s="1">
        <v>5122.54</v>
      </c>
      <c r="H348" s="1">
        <v>361</v>
      </c>
    </row>
    <row r="349" spans="1:8" x14ac:dyDescent="0.35">
      <c r="A349" s="1" t="s">
        <v>417</v>
      </c>
      <c r="B349" s="1" t="s">
        <v>609</v>
      </c>
      <c r="C349" s="1" t="s">
        <v>17</v>
      </c>
      <c r="D349" s="1" t="s">
        <v>43</v>
      </c>
      <c r="E349" s="1" t="s">
        <v>44</v>
      </c>
      <c r="F349" s="1">
        <v>33855.82</v>
      </c>
      <c r="G349" s="1">
        <v>6956.93</v>
      </c>
      <c r="H349" s="1">
        <v>1818</v>
      </c>
    </row>
    <row r="350" spans="1:8" x14ac:dyDescent="0.35">
      <c r="A350" s="1" t="s">
        <v>368</v>
      </c>
      <c r="B350" s="1" t="s">
        <v>610</v>
      </c>
      <c r="C350" s="1" t="s">
        <v>30</v>
      </c>
      <c r="D350" s="1" t="s">
        <v>18</v>
      </c>
      <c r="E350" s="1" t="s">
        <v>25</v>
      </c>
      <c r="F350" s="1">
        <v>9957.93</v>
      </c>
      <c r="G350" s="1">
        <v>2447.9699999999998</v>
      </c>
      <c r="H350" s="1">
        <v>106</v>
      </c>
    </row>
    <row r="351" spans="1:8" x14ac:dyDescent="0.35">
      <c r="A351" s="1" t="s">
        <v>611</v>
      </c>
      <c r="B351" s="1" t="s">
        <v>612</v>
      </c>
      <c r="C351" s="1" t="s">
        <v>30</v>
      </c>
      <c r="D351" s="1" t="s">
        <v>31</v>
      </c>
      <c r="E351" s="1" t="s">
        <v>77</v>
      </c>
      <c r="F351" s="1">
        <v>21704.85</v>
      </c>
      <c r="G351" s="1">
        <v>4741.13</v>
      </c>
      <c r="H351" s="1">
        <v>611</v>
      </c>
    </row>
    <row r="352" spans="1:8" x14ac:dyDescent="0.35">
      <c r="A352" s="1" t="s">
        <v>613</v>
      </c>
      <c r="B352" s="1" t="s">
        <v>614</v>
      </c>
      <c r="C352" s="1" t="s">
        <v>17</v>
      </c>
      <c r="D352" s="1" t="s">
        <v>43</v>
      </c>
      <c r="E352" s="1" t="s">
        <v>44</v>
      </c>
      <c r="F352" s="1">
        <v>5832.24</v>
      </c>
      <c r="G352" s="1">
        <v>460.64</v>
      </c>
      <c r="H352" s="1">
        <v>452</v>
      </c>
    </row>
    <row r="353" spans="1:8" x14ac:dyDescent="0.35">
      <c r="A353" s="1" t="s">
        <v>306</v>
      </c>
      <c r="B353" s="1" t="s">
        <v>615</v>
      </c>
      <c r="C353" s="1" t="s">
        <v>17</v>
      </c>
      <c r="D353" s="1" t="s">
        <v>10</v>
      </c>
      <c r="E353" s="1" t="s">
        <v>14</v>
      </c>
      <c r="F353" s="1">
        <v>27107.45</v>
      </c>
      <c r="G353" s="1">
        <v>6200.36</v>
      </c>
      <c r="H353" s="1">
        <v>343</v>
      </c>
    </row>
    <row r="354" spans="1:8" x14ac:dyDescent="0.35">
      <c r="A354" s="1" t="s">
        <v>606</v>
      </c>
      <c r="B354" s="1" t="s">
        <v>616</v>
      </c>
      <c r="C354" s="1" t="s">
        <v>60</v>
      </c>
      <c r="D354" s="1" t="s">
        <v>10</v>
      </c>
      <c r="E354" s="1" t="s">
        <v>14</v>
      </c>
      <c r="F354" s="1">
        <v>27271.599999999999</v>
      </c>
      <c r="G354" s="1">
        <v>5528.91</v>
      </c>
      <c r="H354" s="1">
        <v>597</v>
      </c>
    </row>
    <row r="355" spans="1:8" x14ac:dyDescent="0.35">
      <c r="A355" s="1" t="s">
        <v>617</v>
      </c>
      <c r="B355" s="1" t="s">
        <v>618</v>
      </c>
      <c r="C355" s="1" t="s">
        <v>17</v>
      </c>
      <c r="D355" s="1" t="s">
        <v>18</v>
      </c>
      <c r="E355" s="1" t="s">
        <v>25</v>
      </c>
      <c r="F355" s="1">
        <v>37101.75</v>
      </c>
      <c r="G355" s="1">
        <v>5946.28</v>
      </c>
      <c r="H355" s="1">
        <v>595</v>
      </c>
    </row>
    <row r="356" spans="1:8" x14ac:dyDescent="0.35">
      <c r="A356" s="1" t="s">
        <v>401</v>
      </c>
      <c r="B356" s="1" t="s">
        <v>619</v>
      </c>
      <c r="C356" s="1" t="s">
        <v>17</v>
      </c>
      <c r="D356" s="1" t="s">
        <v>43</v>
      </c>
      <c r="E356" s="1" t="s">
        <v>44</v>
      </c>
      <c r="F356" s="1">
        <v>49710.5</v>
      </c>
      <c r="G356" s="1">
        <v>4433.03</v>
      </c>
      <c r="H356" s="1">
        <v>245</v>
      </c>
    </row>
    <row r="357" spans="1:8" x14ac:dyDescent="0.35">
      <c r="A357" s="1" t="s">
        <v>33</v>
      </c>
      <c r="B357" s="1" t="s">
        <v>620</v>
      </c>
      <c r="C357" s="1" t="s">
        <v>17</v>
      </c>
      <c r="D357" s="1" t="s">
        <v>18</v>
      </c>
      <c r="E357" s="1" t="s">
        <v>19</v>
      </c>
      <c r="F357" s="1">
        <v>41228.39</v>
      </c>
      <c r="G357" s="1">
        <v>2300.06</v>
      </c>
      <c r="H357" s="1">
        <v>1190</v>
      </c>
    </row>
    <row r="358" spans="1:8" x14ac:dyDescent="0.35">
      <c r="A358" s="1" t="s">
        <v>592</v>
      </c>
      <c r="B358" s="1" t="s">
        <v>621</v>
      </c>
      <c r="C358" s="1" t="s">
        <v>30</v>
      </c>
      <c r="D358" s="1" t="s">
        <v>18</v>
      </c>
      <c r="E358" s="1" t="s">
        <v>61</v>
      </c>
      <c r="F358" s="1">
        <v>48763.93</v>
      </c>
      <c r="G358" s="1">
        <v>2523.64</v>
      </c>
      <c r="H358" s="1">
        <v>1288</v>
      </c>
    </row>
    <row r="359" spans="1:8" x14ac:dyDescent="0.35">
      <c r="A359" s="1" t="s">
        <v>622</v>
      </c>
      <c r="B359" s="1" t="s">
        <v>623</v>
      </c>
      <c r="C359" s="1" t="s">
        <v>60</v>
      </c>
      <c r="D359" s="1" t="s">
        <v>18</v>
      </c>
      <c r="E359" s="1" t="s">
        <v>92</v>
      </c>
      <c r="F359" s="1">
        <v>15268.92</v>
      </c>
      <c r="G359" s="1">
        <v>2089.13</v>
      </c>
      <c r="H359" s="1">
        <v>496</v>
      </c>
    </row>
    <row r="360" spans="1:8" x14ac:dyDescent="0.35">
      <c r="A360" s="1" t="s">
        <v>213</v>
      </c>
      <c r="B360" s="1" t="s">
        <v>624</v>
      </c>
      <c r="C360" s="1" t="s">
        <v>17</v>
      </c>
      <c r="D360" s="1" t="s">
        <v>43</v>
      </c>
      <c r="E360" s="1" t="s">
        <v>111</v>
      </c>
      <c r="F360" s="1">
        <v>3699.8</v>
      </c>
      <c r="G360" s="1">
        <v>683.11</v>
      </c>
      <c r="H360" s="1">
        <v>246</v>
      </c>
    </row>
    <row r="361" spans="1:8" x14ac:dyDescent="0.35">
      <c r="A361" s="1" t="s">
        <v>625</v>
      </c>
      <c r="B361" s="1" t="s">
        <v>626</v>
      </c>
      <c r="C361" s="1" t="s">
        <v>9</v>
      </c>
      <c r="D361" s="1" t="s">
        <v>31</v>
      </c>
      <c r="E361" s="1" t="s">
        <v>77</v>
      </c>
      <c r="F361" s="1">
        <v>24181.71</v>
      </c>
      <c r="G361" s="1">
        <v>2529.08</v>
      </c>
      <c r="H361" s="1">
        <v>1004</v>
      </c>
    </row>
    <row r="362" spans="1:8" x14ac:dyDescent="0.35">
      <c r="A362" s="1" t="s">
        <v>555</v>
      </c>
      <c r="B362" s="1" t="s">
        <v>627</v>
      </c>
      <c r="C362" s="1" t="s">
        <v>30</v>
      </c>
      <c r="D362" s="1" t="s">
        <v>43</v>
      </c>
      <c r="E362" s="1" t="s">
        <v>50</v>
      </c>
      <c r="F362" s="1">
        <v>27019.66</v>
      </c>
      <c r="G362" s="1">
        <v>6188.03</v>
      </c>
      <c r="H362" s="1">
        <v>585</v>
      </c>
    </row>
    <row r="363" spans="1:8" x14ac:dyDescent="0.35">
      <c r="A363" s="1" t="s">
        <v>460</v>
      </c>
      <c r="B363" s="1" t="s">
        <v>628</v>
      </c>
      <c r="C363" s="1" t="s">
        <v>30</v>
      </c>
      <c r="D363" s="1" t="s">
        <v>10</v>
      </c>
      <c r="E363" s="1" t="s">
        <v>22</v>
      </c>
      <c r="F363" s="1">
        <v>22403.69</v>
      </c>
      <c r="G363" s="1">
        <v>2945.77</v>
      </c>
      <c r="H363" s="1">
        <v>572</v>
      </c>
    </row>
    <row r="364" spans="1:8" x14ac:dyDescent="0.35">
      <c r="A364" s="1" t="s">
        <v>408</v>
      </c>
      <c r="B364" s="1" t="s">
        <v>629</v>
      </c>
      <c r="C364" s="1" t="s">
        <v>60</v>
      </c>
      <c r="D364" s="1" t="s">
        <v>10</v>
      </c>
      <c r="E364" s="1" t="s">
        <v>14</v>
      </c>
      <c r="F364" s="1">
        <v>6070.38</v>
      </c>
      <c r="G364" s="1">
        <v>872.24</v>
      </c>
      <c r="H364" s="1">
        <v>92</v>
      </c>
    </row>
    <row r="365" spans="1:8" x14ac:dyDescent="0.35">
      <c r="A365" s="1" t="s">
        <v>298</v>
      </c>
      <c r="B365" s="1" t="s">
        <v>630</v>
      </c>
      <c r="C365" s="1" t="s">
        <v>17</v>
      </c>
      <c r="D365" s="1" t="s">
        <v>31</v>
      </c>
      <c r="E365" s="1" t="s">
        <v>53</v>
      </c>
      <c r="F365" s="1">
        <v>42350.05</v>
      </c>
      <c r="G365" s="1">
        <v>3525.93</v>
      </c>
      <c r="H365" s="1">
        <v>1551</v>
      </c>
    </row>
    <row r="366" spans="1:8" x14ac:dyDescent="0.35">
      <c r="A366" s="1" t="s">
        <v>160</v>
      </c>
      <c r="B366" s="1" t="s">
        <v>631</v>
      </c>
      <c r="C366" s="1" t="s">
        <v>30</v>
      </c>
      <c r="D366" s="1" t="s">
        <v>18</v>
      </c>
      <c r="E366" s="1" t="s">
        <v>19</v>
      </c>
      <c r="F366" s="1">
        <v>41479.919999999998</v>
      </c>
      <c r="G366" s="1">
        <v>10254.9</v>
      </c>
      <c r="H366" s="1">
        <v>725</v>
      </c>
    </row>
    <row r="367" spans="1:8" x14ac:dyDescent="0.35">
      <c r="A367" s="1" t="s">
        <v>632</v>
      </c>
      <c r="B367" s="1" t="s">
        <v>633</v>
      </c>
      <c r="C367" s="1" t="s">
        <v>17</v>
      </c>
      <c r="D367" s="1" t="s">
        <v>18</v>
      </c>
      <c r="E367" s="1" t="s">
        <v>92</v>
      </c>
      <c r="F367" s="1">
        <v>31840.42</v>
      </c>
      <c r="G367" s="1">
        <v>3539.25</v>
      </c>
      <c r="H367" s="1">
        <v>585</v>
      </c>
    </row>
    <row r="368" spans="1:8" x14ac:dyDescent="0.35">
      <c r="A368" s="1" t="s">
        <v>634</v>
      </c>
      <c r="B368" s="1" t="s">
        <v>635</v>
      </c>
      <c r="C368" s="1" t="s">
        <v>17</v>
      </c>
      <c r="D368" s="1" t="s">
        <v>31</v>
      </c>
      <c r="E368" s="1" t="s">
        <v>32</v>
      </c>
      <c r="F368" s="1">
        <v>25041.85</v>
      </c>
      <c r="G368" s="1">
        <v>5793.86</v>
      </c>
      <c r="H368" s="1">
        <v>1564</v>
      </c>
    </row>
    <row r="369" spans="1:8" x14ac:dyDescent="0.35">
      <c r="A369" s="1" t="s">
        <v>433</v>
      </c>
      <c r="B369" s="1" t="s">
        <v>636</v>
      </c>
      <c r="C369" s="1" t="s">
        <v>30</v>
      </c>
      <c r="D369" s="1" t="s">
        <v>43</v>
      </c>
      <c r="E369" s="1" t="s">
        <v>44</v>
      </c>
      <c r="F369" s="1">
        <v>8167.97</v>
      </c>
      <c r="G369" s="1">
        <v>1511.23</v>
      </c>
      <c r="H369" s="1">
        <v>1710</v>
      </c>
    </row>
    <row r="370" spans="1:8" x14ac:dyDescent="0.35">
      <c r="A370" s="1" t="s">
        <v>90</v>
      </c>
      <c r="B370" s="1" t="s">
        <v>637</v>
      </c>
      <c r="C370" s="1" t="s">
        <v>9</v>
      </c>
      <c r="D370" s="1" t="s">
        <v>43</v>
      </c>
      <c r="E370" s="1" t="s">
        <v>44</v>
      </c>
      <c r="F370" s="1">
        <v>49177.67</v>
      </c>
      <c r="G370" s="1">
        <v>9240.73</v>
      </c>
      <c r="H370" s="1">
        <v>1382</v>
      </c>
    </row>
    <row r="371" spans="1:8" x14ac:dyDescent="0.35">
      <c r="A371" s="1" t="s">
        <v>365</v>
      </c>
      <c r="B371" s="1" t="s">
        <v>638</v>
      </c>
      <c r="C371" s="1" t="s">
        <v>17</v>
      </c>
      <c r="D371" s="1" t="s">
        <v>31</v>
      </c>
      <c r="E371" s="1" t="s">
        <v>74</v>
      </c>
      <c r="F371" s="1">
        <v>36041.78</v>
      </c>
      <c r="G371" s="1">
        <v>6599.56</v>
      </c>
      <c r="H371" s="1">
        <v>1376</v>
      </c>
    </row>
    <row r="372" spans="1:8" x14ac:dyDescent="0.35">
      <c r="A372" s="1" t="s">
        <v>639</v>
      </c>
      <c r="B372" s="1" t="s">
        <v>640</v>
      </c>
      <c r="C372" s="1" t="s">
        <v>60</v>
      </c>
      <c r="D372" s="1" t="s">
        <v>18</v>
      </c>
      <c r="E372" s="1" t="s">
        <v>25</v>
      </c>
      <c r="F372" s="1">
        <v>19263.46</v>
      </c>
      <c r="G372" s="1">
        <v>2461.14</v>
      </c>
      <c r="H372" s="1">
        <v>1400</v>
      </c>
    </row>
    <row r="373" spans="1:8" x14ac:dyDescent="0.35">
      <c r="A373" s="1" t="s">
        <v>641</v>
      </c>
      <c r="B373" s="1" t="s">
        <v>642</v>
      </c>
      <c r="C373" s="1" t="s">
        <v>60</v>
      </c>
      <c r="D373" s="1" t="s">
        <v>10</v>
      </c>
      <c r="E373" s="1" t="s">
        <v>40</v>
      </c>
      <c r="F373" s="1">
        <v>25816.33</v>
      </c>
      <c r="G373" s="1">
        <v>4995.6000000000004</v>
      </c>
      <c r="H373" s="1">
        <v>64</v>
      </c>
    </row>
    <row r="374" spans="1:8" x14ac:dyDescent="0.35">
      <c r="A374" s="1" t="s">
        <v>535</v>
      </c>
      <c r="B374" s="1" t="s">
        <v>643</v>
      </c>
      <c r="C374" s="1" t="s">
        <v>17</v>
      </c>
      <c r="D374" s="1" t="s">
        <v>18</v>
      </c>
      <c r="E374" s="1" t="s">
        <v>19</v>
      </c>
      <c r="F374" s="1">
        <v>13414.58</v>
      </c>
      <c r="G374" s="1">
        <v>1962.2</v>
      </c>
      <c r="H374" s="1">
        <v>1969</v>
      </c>
    </row>
    <row r="375" spans="1:8" x14ac:dyDescent="0.35">
      <c r="A375" s="1" t="s">
        <v>517</v>
      </c>
      <c r="B375" s="1" t="s">
        <v>644</v>
      </c>
      <c r="C375" s="1" t="s">
        <v>9</v>
      </c>
      <c r="D375" s="1" t="s">
        <v>43</v>
      </c>
      <c r="E375" s="1" t="s">
        <v>111</v>
      </c>
      <c r="F375" s="1">
        <v>10568.66</v>
      </c>
      <c r="G375" s="1">
        <v>759</v>
      </c>
      <c r="H375" s="1">
        <v>492</v>
      </c>
    </row>
    <row r="376" spans="1:8" x14ac:dyDescent="0.35">
      <c r="A376" s="1" t="s">
        <v>645</v>
      </c>
      <c r="B376" s="1" t="s">
        <v>646</v>
      </c>
      <c r="C376" s="1" t="s">
        <v>9</v>
      </c>
      <c r="D376" s="1" t="s">
        <v>31</v>
      </c>
      <c r="E376" s="1" t="s">
        <v>32</v>
      </c>
      <c r="F376" s="1">
        <v>9411.64</v>
      </c>
      <c r="G376" s="1">
        <v>1262.83</v>
      </c>
      <c r="H376" s="1">
        <v>1560</v>
      </c>
    </row>
    <row r="377" spans="1:8" x14ac:dyDescent="0.35">
      <c r="A377" s="1" t="s">
        <v>236</v>
      </c>
      <c r="B377" s="1" t="s">
        <v>647</v>
      </c>
      <c r="C377" s="1" t="s">
        <v>17</v>
      </c>
      <c r="D377" s="1" t="s">
        <v>43</v>
      </c>
      <c r="E377" s="1" t="s">
        <v>50</v>
      </c>
      <c r="F377" s="1">
        <v>20549.439999999999</v>
      </c>
      <c r="G377" s="1">
        <v>2588.3200000000002</v>
      </c>
      <c r="H377" s="1">
        <v>956</v>
      </c>
    </row>
    <row r="378" spans="1:8" x14ac:dyDescent="0.35">
      <c r="A378" s="1" t="s">
        <v>390</v>
      </c>
      <c r="B378" s="1" t="s">
        <v>648</v>
      </c>
      <c r="C378" s="1" t="s">
        <v>17</v>
      </c>
      <c r="D378" s="1" t="s">
        <v>31</v>
      </c>
      <c r="E378" s="1" t="s">
        <v>74</v>
      </c>
      <c r="F378" s="1">
        <v>21289.93</v>
      </c>
      <c r="G378" s="1">
        <v>2842.8</v>
      </c>
      <c r="H378" s="1">
        <v>730</v>
      </c>
    </row>
    <row r="379" spans="1:8" x14ac:dyDescent="0.35">
      <c r="A379" s="1" t="s">
        <v>649</v>
      </c>
      <c r="B379" s="1" t="s">
        <v>650</v>
      </c>
      <c r="C379" s="1" t="s">
        <v>60</v>
      </c>
      <c r="D379" s="1" t="s">
        <v>31</v>
      </c>
      <c r="E379" s="1" t="s">
        <v>32</v>
      </c>
      <c r="F379" s="1">
        <v>39237.69</v>
      </c>
      <c r="G379" s="1">
        <v>5159.6899999999996</v>
      </c>
      <c r="H379" s="1">
        <v>29</v>
      </c>
    </row>
    <row r="380" spans="1:8" x14ac:dyDescent="0.35">
      <c r="A380" s="1" t="s">
        <v>651</v>
      </c>
      <c r="B380" s="1" t="s">
        <v>652</v>
      </c>
      <c r="C380" s="1" t="s">
        <v>30</v>
      </c>
      <c r="D380" s="1" t="s">
        <v>18</v>
      </c>
      <c r="E380" s="1" t="s">
        <v>92</v>
      </c>
      <c r="F380" s="1">
        <v>28906.11</v>
      </c>
      <c r="G380" s="1">
        <v>5759.16</v>
      </c>
      <c r="H380" s="1">
        <v>1041</v>
      </c>
    </row>
    <row r="381" spans="1:8" x14ac:dyDescent="0.35">
      <c r="A381" s="1" t="s">
        <v>143</v>
      </c>
      <c r="B381" s="1" t="s">
        <v>653</v>
      </c>
      <c r="C381" s="1" t="s">
        <v>30</v>
      </c>
      <c r="D381" s="1" t="s">
        <v>43</v>
      </c>
      <c r="E381" s="1" t="s">
        <v>44</v>
      </c>
      <c r="F381" s="1">
        <v>27840.89</v>
      </c>
      <c r="G381" s="1">
        <v>5813.3</v>
      </c>
      <c r="H381" s="1">
        <v>76</v>
      </c>
    </row>
    <row r="382" spans="1:8" x14ac:dyDescent="0.35">
      <c r="A382" s="1" t="s">
        <v>41</v>
      </c>
      <c r="B382" s="1" t="s">
        <v>654</v>
      </c>
      <c r="C382" s="1" t="s">
        <v>9</v>
      </c>
      <c r="D382" s="1" t="s">
        <v>31</v>
      </c>
      <c r="E382" s="1" t="s">
        <v>53</v>
      </c>
      <c r="F382" s="1">
        <v>16482.82</v>
      </c>
      <c r="G382" s="1">
        <v>2089.8200000000002</v>
      </c>
      <c r="H382" s="1">
        <v>913</v>
      </c>
    </row>
    <row r="383" spans="1:8" x14ac:dyDescent="0.35">
      <c r="A383" s="1" t="s">
        <v>172</v>
      </c>
      <c r="B383" s="1" t="s">
        <v>655</v>
      </c>
      <c r="C383" s="1" t="s">
        <v>60</v>
      </c>
      <c r="D383" s="1" t="s">
        <v>18</v>
      </c>
      <c r="E383" s="1" t="s">
        <v>92</v>
      </c>
      <c r="F383" s="1">
        <v>18026.509999999998</v>
      </c>
      <c r="G383" s="1">
        <v>2981.35</v>
      </c>
      <c r="H383" s="1">
        <v>1553</v>
      </c>
    </row>
    <row r="384" spans="1:8" x14ac:dyDescent="0.35">
      <c r="A384" s="1" t="s">
        <v>656</v>
      </c>
      <c r="B384" s="1" t="s">
        <v>657</v>
      </c>
      <c r="C384" s="1" t="s">
        <v>17</v>
      </c>
      <c r="D384" s="1" t="s">
        <v>43</v>
      </c>
      <c r="E384" s="1" t="s">
        <v>50</v>
      </c>
      <c r="F384" s="1">
        <v>23319.91</v>
      </c>
      <c r="G384" s="1">
        <v>3341.46</v>
      </c>
      <c r="H384" s="1">
        <v>1127</v>
      </c>
    </row>
    <row r="385" spans="1:8" x14ac:dyDescent="0.35">
      <c r="A385" s="1" t="s">
        <v>645</v>
      </c>
      <c r="B385" s="1" t="s">
        <v>658</v>
      </c>
      <c r="C385" s="1" t="s">
        <v>30</v>
      </c>
      <c r="D385" s="1" t="s">
        <v>31</v>
      </c>
      <c r="E385" s="1" t="s">
        <v>77</v>
      </c>
      <c r="F385" s="1">
        <v>31684.6</v>
      </c>
      <c r="G385" s="1">
        <v>5812.34</v>
      </c>
      <c r="H385" s="1">
        <v>251</v>
      </c>
    </row>
    <row r="386" spans="1:8" x14ac:dyDescent="0.35">
      <c r="A386" s="1" t="s">
        <v>45</v>
      </c>
      <c r="B386" s="1" t="s">
        <v>659</v>
      </c>
      <c r="C386" s="1" t="s">
        <v>17</v>
      </c>
      <c r="D386" s="1" t="s">
        <v>43</v>
      </c>
      <c r="E386" s="1" t="s">
        <v>111</v>
      </c>
      <c r="F386" s="1">
        <v>28843.8</v>
      </c>
      <c r="G386" s="1">
        <v>7195.86</v>
      </c>
      <c r="H386" s="1">
        <v>1888</v>
      </c>
    </row>
    <row r="387" spans="1:8" x14ac:dyDescent="0.35">
      <c r="A387" s="1" t="s">
        <v>660</v>
      </c>
      <c r="B387" s="1" t="s">
        <v>661</v>
      </c>
      <c r="C387" s="1" t="s">
        <v>9</v>
      </c>
      <c r="D387" s="1" t="s">
        <v>10</v>
      </c>
      <c r="E387" s="1" t="s">
        <v>40</v>
      </c>
      <c r="F387" s="1">
        <v>47517.22</v>
      </c>
      <c r="G387" s="1">
        <v>3372.25</v>
      </c>
      <c r="H387" s="1">
        <v>1329</v>
      </c>
    </row>
    <row r="388" spans="1:8" x14ac:dyDescent="0.35">
      <c r="A388" s="1" t="s">
        <v>355</v>
      </c>
      <c r="B388" s="1" t="s">
        <v>662</v>
      </c>
      <c r="C388" s="1" t="s">
        <v>30</v>
      </c>
      <c r="D388" s="1" t="s">
        <v>10</v>
      </c>
      <c r="E388" s="1" t="s">
        <v>22</v>
      </c>
      <c r="F388" s="1">
        <v>36664.22</v>
      </c>
      <c r="G388" s="1">
        <v>5000.13</v>
      </c>
      <c r="H388" s="1">
        <v>1727</v>
      </c>
    </row>
    <row r="389" spans="1:8" x14ac:dyDescent="0.35">
      <c r="A389" s="1" t="s">
        <v>572</v>
      </c>
      <c r="B389" s="1" t="s">
        <v>663</v>
      </c>
      <c r="C389" s="1" t="s">
        <v>9</v>
      </c>
      <c r="D389" s="1" t="s">
        <v>10</v>
      </c>
      <c r="E389" s="1" t="s">
        <v>14</v>
      </c>
      <c r="F389" s="1">
        <v>16249.75</v>
      </c>
      <c r="G389" s="1">
        <v>2093.98</v>
      </c>
      <c r="H389" s="1">
        <v>1469</v>
      </c>
    </row>
    <row r="390" spans="1:8" x14ac:dyDescent="0.35">
      <c r="A390" s="1" t="s">
        <v>664</v>
      </c>
      <c r="B390" s="1" t="s">
        <v>665</v>
      </c>
      <c r="C390" s="1" t="s">
        <v>17</v>
      </c>
      <c r="D390" s="1" t="s">
        <v>18</v>
      </c>
      <c r="E390" s="1" t="s">
        <v>61</v>
      </c>
      <c r="F390" s="1">
        <v>8166.38</v>
      </c>
      <c r="G390" s="1">
        <v>1548.77</v>
      </c>
      <c r="H390" s="1">
        <v>1387</v>
      </c>
    </row>
    <row r="391" spans="1:8" x14ac:dyDescent="0.35">
      <c r="A391" s="1" t="s">
        <v>304</v>
      </c>
      <c r="B391" s="1" t="s">
        <v>666</v>
      </c>
      <c r="C391" s="1" t="s">
        <v>30</v>
      </c>
      <c r="D391" s="1" t="s">
        <v>10</v>
      </c>
      <c r="E391" s="1" t="s">
        <v>40</v>
      </c>
      <c r="F391" s="1">
        <v>49920.34</v>
      </c>
      <c r="G391" s="1">
        <v>6324.83</v>
      </c>
      <c r="H391" s="1">
        <v>1609</v>
      </c>
    </row>
    <row r="392" spans="1:8" x14ac:dyDescent="0.35">
      <c r="A392" s="1" t="s">
        <v>667</v>
      </c>
      <c r="B392" s="1" t="s">
        <v>668</v>
      </c>
      <c r="C392" s="1" t="s">
        <v>60</v>
      </c>
      <c r="D392" s="1" t="s">
        <v>18</v>
      </c>
      <c r="E392" s="1" t="s">
        <v>25</v>
      </c>
      <c r="F392" s="1">
        <v>23523</v>
      </c>
      <c r="G392" s="1">
        <v>4274.38</v>
      </c>
      <c r="H392" s="1">
        <v>1906</v>
      </c>
    </row>
    <row r="393" spans="1:8" x14ac:dyDescent="0.35">
      <c r="A393" s="1" t="s">
        <v>276</v>
      </c>
      <c r="B393" s="1" t="s">
        <v>669</v>
      </c>
      <c r="C393" s="1" t="s">
        <v>30</v>
      </c>
      <c r="D393" s="1" t="s">
        <v>18</v>
      </c>
      <c r="E393" s="1" t="s">
        <v>25</v>
      </c>
      <c r="F393" s="1">
        <v>8914.4699999999993</v>
      </c>
      <c r="G393" s="1">
        <v>969.12</v>
      </c>
      <c r="H393" s="1">
        <v>648</v>
      </c>
    </row>
    <row r="394" spans="1:8" x14ac:dyDescent="0.35">
      <c r="A394" s="1" t="s">
        <v>58</v>
      </c>
      <c r="B394" s="1" t="s">
        <v>670</v>
      </c>
      <c r="C394" s="1" t="s">
        <v>60</v>
      </c>
      <c r="D394" s="1" t="s">
        <v>43</v>
      </c>
      <c r="E394" s="1" t="s">
        <v>44</v>
      </c>
      <c r="F394" s="1">
        <v>41156.69</v>
      </c>
      <c r="G394" s="1">
        <v>7443.77</v>
      </c>
      <c r="H394" s="1">
        <v>459</v>
      </c>
    </row>
    <row r="395" spans="1:8" x14ac:dyDescent="0.35">
      <c r="A395" s="1" t="s">
        <v>671</v>
      </c>
      <c r="B395" s="1" t="s">
        <v>672</v>
      </c>
      <c r="C395" s="1" t="s">
        <v>17</v>
      </c>
      <c r="D395" s="1" t="s">
        <v>18</v>
      </c>
      <c r="E395" s="1" t="s">
        <v>19</v>
      </c>
      <c r="F395" s="1">
        <v>35248.239999999998</v>
      </c>
      <c r="G395" s="1">
        <v>2054.44</v>
      </c>
      <c r="H395" s="1">
        <v>1147</v>
      </c>
    </row>
    <row r="396" spans="1:8" x14ac:dyDescent="0.35">
      <c r="A396" s="1" t="s">
        <v>471</v>
      </c>
      <c r="B396" s="1" t="s">
        <v>673</v>
      </c>
      <c r="C396" s="1" t="s">
        <v>17</v>
      </c>
      <c r="D396" s="1" t="s">
        <v>31</v>
      </c>
      <c r="E396" s="1" t="s">
        <v>77</v>
      </c>
      <c r="F396" s="1">
        <v>48134.67</v>
      </c>
      <c r="G396" s="1">
        <v>10451.469999999999</v>
      </c>
      <c r="H396" s="1">
        <v>641</v>
      </c>
    </row>
    <row r="397" spans="1:8" x14ac:dyDescent="0.35">
      <c r="A397" s="1" t="s">
        <v>489</v>
      </c>
      <c r="B397" s="1" t="s">
        <v>674</v>
      </c>
      <c r="C397" s="1" t="s">
        <v>30</v>
      </c>
      <c r="D397" s="1" t="s">
        <v>31</v>
      </c>
      <c r="E397" s="1" t="s">
        <v>53</v>
      </c>
      <c r="F397" s="1">
        <v>15034.8</v>
      </c>
      <c r="G397" s="1">
        <v>3270.14</v>
      </c>
      <c r="H397" s="1">
        <v>1296</v>
      </c>
    </row>
    <row r="398" spans="1:8" x14ac:dyDescent="0.35">
      <c r="A398" s="1" t="s">
        <v>675</v>
      </c>
      <c r="B398" s="1" t="s">
        <v>676</v>
      </c>
      <c r="C398" s="1" t="s">
        <v>17</v>
      </c>
      <c r="D398" s="1" t="s">
        <v>43</v>
      </c>
      <c r="E398" s="1" t="s">
        <v>111</v>
      </c>
      <c r="F398" s="1">
        <v>37076.92</v>
      </c>
      <c r="G398" s="1">
        <v>7343.99</v>
      </c>
      <c r="H398" s="1">
        <v>404</v>
      </c>
    </row>
    <row r="399" spans="1:8" x14ac:dyDescent="0.35">
      <c r="A399" s="1" t="s">
        <v>335</v>
      </c>
      <c r="B399" s="1" t="s">
        <v>677</v>
      </c>
      <c r="C399" s="1" t="s">
        <v>17</v>
      </c>
      <c r="D399" s="1" t="s">
        <v>10</v>
      </c>
      <c r="E399" s="1" t="s">
        <v>22</v>
      </c>
      <c r="F399" s="1">
        <v>23104.59</v>
      </c>
      <c r="G399" s="1">
        <v>2951.14</v>
      </c>
      <c r="H399" s="1">
        <v>1569</v>
      </c>
    </row>
    <row r="400" spans="1:8" x14ac:dyDescent="0.35">
      <c r="A400" s="1" t="s">
        <v>528</v>
      </c>
      <c r="B400" s="1" t="s">
        <v>678</v>
      </c>
      <c r="C400" s="1" t="s">
        <v>17</v>
      </c>
      <c r="D400" s="1" t="s">
        <v>43</v>
      </c>
      <c r="E400" s="1" t="s">
        <v>47</v>
      </c>
      <c r="F400" s="1">
        <v>43017.48</v>
      </c>
      <c r="G400" s="1">
        <v>3632.75</v>
      </c>
      <c r="H400" s="1">
        <v>1868</v>
      </c>
    </row>
    <row r="401" spans="1:8" x14ac:dyDescent="0.35">
      <c r="A401" s="1" t="s">
        <v>572</v>
      </c>
      <c r="B401" s="1" t="s">
        <v>679</v>
      </c>
      <c r="C401" s="1" t="s">
        <v>60</v>
      </c>
      <c r="D401" s="1" t="s">
        <v>31</v>
      </c>
      <c r="E401" s="1" t="s">
        <v>32</v>
      </c>
      <c r="F401" s="1">
        <v>43527.35</v>
      </c>
      <c r="G401" s="1">
        <v>4836.8599999999997</v>
      </c>
      <c r="H401" s="1">
        <v>1431</v>
      </c>
    </row>
    <row r="402" spans="1:8" x14ac:dyDescent="0.35">
      <c r="A402" s="1" t="s">
        <v>124</v>
      </c>
      <c r="B402" s="1" t="s">
        <v>680</v>
      </c>
      <c r="C402" s="1" t="s">
        <v>9</v>
      </c>
      <c r="D402" s="1" t="s">
        <v>43</v>
      </c>
      <c r="E402" s="1" t="s">
        <v>47</v>
      </c>
      <c r="F402" s="1">
        <v>7404.39</v>
      </c>
      <c r="G402" s="1">
        <v>1422.65</v>
      </c>
      <c r="H402" s="1">
        <v>1245</v>
      </c>
    </row>
    <row r="403" spans="1:8" x14ac:dyDescent="0.35">
      <c r="A403" s="1" t="s">
        <v>681</v>
      </c>
      <c r="B403" s="1" t="s">
        <v>682</v>
      </c>
      <c r="C403" s="1" t="s">
        <v>9</v>
      </c>
      <c r="D403" s="1" t="s">
        <v>10</v>
      </c>
      <c r="E403" s="1" t="s">
        <v>11</v>
      </c>
      <c r="F403" s="1">
        <v>6093.14</v>
      </c>
      <c r="G403" s="1">
        <v>1232.08</v>
      </c>
      <c r="H403" s="1">
        <v>643</v>
      </c>
    </row>
    <row r="404" spans="1:8" x14ac:dyDescent="0.35">
      <c r="A404" s="1" t="s">
        <v>617</v>
      </c>
      <c r="B404" s="1" t="s">
        <v>683</v>
      </c>
      <c r="C404" s="1" t="s">
        <v>30</v>
      </c>
      <c r="D404" s="1" t="s">
        <v>18</v>
      </c>
      <c r="E404" s="1" t="s">
        <v>61</v>
      </c>
      <c r="F404" s="1">
        <v>22323.25</v>
      </c>
      <c r="G404" s="1">
        <v>2043.28</v>
      </c>
      <c r="H404" s="1">
        <v>1100</v>
      </c>
    </row>
    <row r="405" spans="1:8" x14ac:dyDescent="0.35">
      <c r="A405" s="1" t="s">
        <v>579</v>
      </c>
      <c r="B405" s="1" t="s">
        <v>684</v>
      </c>
      <c r="C405" s="1" t="s">
        <v>17</v>
      </c>
      <c r="D405" s="1" t="s">
        <v>43</v>
      </c>
      <c r="E405" s="1" t="s">
        <v>50</v>
      </c>
      <c r="F405" s="1">
        <v>1837.74</v>
      </c>
      <c r="G405" s="1">
        <v>382.52</v>
      </c>
      <c r="H405" s="1">
        <v>1279</v>
      </c>
    </row>
    <row r="406" spans="1:8" x14ac:dyDescent="0.35">
      <c r="A406" s="1" t="s">
        <v>293</v>
      </c>
      <c r="B406" s="1" t="s">
        <v>685</v>
      </c>
      <c r="C406" s="1" t="s">
        <v>17</v>
      </c>
      <c r="D406" s="1" t="s">
        <v>10</v>
      </c>
      <c r="E406" s="1" t="s">
        <v>22</v>
      </c>
      <c r="F406" s="1">
        <v>31115.99</v>
      </c>
      <c r="G406" s="1">
        <v>5923.24</v>
      </c>
      <c r="H406" s="1">
        <v>252</v>
      </c>
    </row>
    <row r="407" spans="1:8" x14ac:dyDescent="0.35">
      <c r="A407" s="1" t="s">
        <v>686</v>
      </c>
      <c r="B407" s="1" t="s">
        <v>687</v>
      </c>
      <c r="C407" s="1" t="s">
        <v>17</v>
      </c>
      <c r="D407" s="1" t="s">
        <v>10</v>
      </c>
      <c r="E407" s="1" t="s">
        <v>14</v>
      </c>
      <c r="F407" s="1">
        <v>3413.12</v>
      </c>
      <c r="G407" s="1">
        <v>644.79999999999995</v>
      </c>
      <c r="H407" s="1">
        <v>729</v>
      </c>
    </row>
    <row r="408" spans="1:8" x14ac:dyDescent="0.35">
      <c r="A408" s="1" t="s">
        <v>143</v>
      </c>
      <c r="B408" s="1" t="s">
        <v>688</v>
      </c>
      <c r="C408" s="1" t="s">
        <v>60</v>
      </c>
      <c r="D408" s="1" t="s">
        <v>43</v>
      </c>
      <c r="E408" s="1" t="s">
        <v>111</v>
      </c>
      <c r="F408" s="1">
        <v>46093.02</v>
      </c>
      <c r="G408" s="1">
        <v>7206.57</v>
      </c>
      <c r="H408" s="1">
        <v>956</v>
      </c>
    </row>
    <row r="409" spans="1:8" x14ac:dyDescent="0.35">
      <c r="A409" s="1" t="s">
        <v>645</v>
      </c>
      <c r="B409" s="1" t="s">
        <v>689</v>
      </c>
      <c r="C409" s="1" t="s">
        <v>30</v>
      </c>
      <c r="D409" s="1" t="s">
        <v>43</v>
      </c>
      <c r="E409" s="1" t="s">
        <v>50</v>
      </c>
      <c r="F409" s="1">
        <v>15996.67</v>
      </c>
      <c r="G409" s="1">
        <v>3120.07</v>
      </c>
      <c r="H409" s="1">
        <v>1076</v>
      </c>
    </row>
    <row r="410" spans="1:8" x14ac:dyDescent="0.35">
      <c r="A410" s="1" t="s">
        <v>690</v>
      </c>
      <c r="B410" s="1" t="s">
        <v>691</v>
      </c>
      <c r="C410" s="1" t="s">
        <v>17</v>
      </c>
      <c r="D410" s="1" t="s">
        <v>10</v>
      </c>
      <c r="E410" s="1" t="s">
        <v>14</v>
      </c>
      <c r="F410" s="1">
        <v>35869.550000000003</v>
      </c>
      <c r="G410" s="1">
        <v>5772.73</v>
      </c>
      <c r="H410" s="1">
        <v>858</v>
      </c>
    </row>
    <row r="411" spans="1:8" x14ac:dyDescent="0.35">
      <c r="A411" s="1" t="s">
        <v>271</v>
      </c>
      <c r="B411" s="1" t="s">
        <v>692</v>
      </c>
      <c r="C411" s="1" t="s">
        <v>9</v>
      </c>
      <c r="D411" s="1" t="s">
        <v>10</v>
      </c>
      <c r="E411" s="1" t="s">
        <v>11</v>
      </c>
      <c r="F411" s="1">
        <v>21913.96</v>
      </c>
      <c r="G411" s="1">
        <v>2086.89</v>
      </c>
      <c r="H411" s="1">
        <v>1597</v>
      </c>
    </row>
    <row r="412" spans="1:8" x14ac:dyDescent="0.35">
      <c r="A412" s="1" t="s">
        <v>693</v>
      </c>
      <c r="B412" s="1" t="s">
        <v>694</v>
      </c>
      <c r="C412" s="1" t="s">
        <v>17</v>
      </c>
      <c r="D412" s="1" t="s">
        <v>18</v>
      </c>
      <c r="E412" s="1" t="s">
        <v>92</v>
      </c>
      <c r="F412" s="1">
        <v>16992.98</v>
      </c>
      <c r="G412" s="1">
        <v>2517.48</v>
      </c>
      <c r="H412" s="1">
        <v>1183</v>
      </c>
    </row>
    <row r="413" spans="1:8" x14ac:dyDescent="0.35">
      <c r="A413" s="1" t="s">
        <v>602</v>
      </c>
      <c r="B413" s="1" t="s">
        <v>695</v>
      </c>
      <c r="C413" s="1" t="s">
        <v>60</v>
      </c>
      <c r="D413" s="1" t="s">
        <v>31</v>
      </c>
      <c r="E413" s="1" t="s">
        <v>74</v>
      </c>
      <c r="F413" s="1">
        <v>25694.75</v>
      </c>
      <c r="G413" s="1">
        <v>4795.8</v>
      </c>
      <c r="H413" s="1">
        <v>1542</v>
      </c>
    </row>
    <row r="414" spans="1:8" x14ac:dyDescent="0.35">
      <c r="A414" s="1" t="s">
        <v>329</v>
      </c>
      <c r="B414" s="1" t="s">
        <v>696</v>
      </c>
      <c r="C414" s="1" t="s">
        <v>60</v>
      </c>
      <c r="D414" s="1" t="s">
        <v>18</v>
      </c>
      <c r="E414" s="1" t="s">
        <v>61</v>
      </c>
      <c r="F414" s="1">
        <v>10477.15</v>
      </c>
      <c r="G414" s="1">
        <v>696.25</v>
      </c>
      <c r="H414" s="1">
        <v>1608</v>
      </c>
    </row>
    <row r="415" spans="1:8" x14ac:dyDescent="0.35">
      <c r="A415" s="1" t="s">
        <v>697</v>
      </c>
      <c r="B415" s="1" t="s">
        <v>698</v>
      </c>
      <c r="C415" s="1" t="s">
        <v>17</v>
      </c>
      <c r="D415" s="1" t="s">
        <v>31</v>
      </c>
      <c r="E415" s="1" t="s">
        <v>77</v>
      </c>
      <c r="F415" s="1">
        <v>30676.880000000001</v>
      </c>
      <c r="G415" s="1">
        <v>5811.76</v>
      </c>
      <c r="H415" s="1">
        <v>1741</v>
      </c>
    </row>
    <row r="416" spans="1:8" x14ac:dyDescent="0.35">
      <c r="A416" s="1" t="s">
        <v>699</v>
      </c>
      <c r="B416" s="1" t="s">
        <v>700</v>
      </c>
      <c r="C416" s="1" t="s">
        <v>60</v>
      </c>
      <c r="D416" s="1" t="s">
        <v>10</v>
      </c>
      <c r="E416" s="1" t="s">
        <v>11</v>
      </c>
      <c r="F416" s="1">
        <v>36771.74</v>
      </c>
      <c r="G416" s="1">
        <v>3831.04</v>
      </c>
      <c r="H416" s="1">
        <v>465</v>
      </c>
    </row>
    <row r="417" spans="1:8" x14ac:dyDescent="0.35">
      <c r="A417" s="1" t="s">
        <v>88</v>
      </c>
      <c r="B417" s="1" t="s">
        <v>701</v>
      </c>
      <c r="C417" s="1" t="s">
        <v>17</v>
      </c>
      <c r="D417" s="1" t="s">
        <v>18</v>
      </c>
      <c r="E417" s="1" t="s">
        <v>61</v>
      </c>
      <c r="F417" s="1">
        <v>26320.77</v>
      </c>
      <c r="G417" s="1">
        <v>2306.6799999999998</v>
      </c>
      <c r="H417" s="1">
        <v>751</v>
      </c>
    </row>
    <row r="418" spans="1:8" x14ac:dyDescent="0.35">
      <c r="A418" s="1" t="s">
        <v>576</v>
      </c>
      <c r="B418" s="1" t="s">
        <v>702</v>
      </c>
      <c r="C418" s="1" t="s">
        <v>30</v>
      </c>
      <c r="D418" s="1" t="s">
        <v>10</v>
      </c>
      <c r="E418" s="1" t="s">
        <v>14</v>
      </c>
      <c r="F418" s="1">
        <v>7518.45</v>
      </c>
      <c r="G418" s="1">
        <v>1185.8399999999999</v>
      </c>
      <c r="H418" s="1">
        <v>114</v>
      </c>
    </row>
    <row r="419" spans="1:8" x14ac:dyDescent="0.35">
      <c r="A419" s="1" t="s">
        <v>45</v>
      </c>
      <c r="B419" s="1" t="s">
        <v>703</v>
      </c>
      <c r="C419" s="1" t="s">
        <v>30</v>
      </c>
      <c r="D419" s="1" t="s">
        <v>10</v>
      </c>
      <c r="E419" s="1" t="s">
        <v>22</v>
      </c>
      <c r="F419" s="1">
        <v>32998.26</v>
      </c>
      <c r="G419" s="1">
        <v>6587.69</v>
      </c>
      <c r="H419" s="1">
        <v>1518</v>
      </c>
    </row>
    <row r="420" spans="1:8" x14ac:dyDescent="0.35">
      <c r="A420" s="1" t="s">
        <v>704</v>
      </c>
      <c r="B420" s="1" t="s">
        <v>705</v>
      </c>
      <c r="C420" s="1" t="s">
        <v>9</v>
      </c>
      <c r="D420" s="1" t="s">
        <v>43</v>
      </c>
      <c r="E420" s="1" t="s">
        <v>47</v>
      </c>
      <c r="F420" s="1">
        <v>18718.13</v>
      </c>
      <c r="G420" s="1">
        <v>4134.46</v>
      </c>
      <c r="H420" s="1">
        <v>1093</v>
      </c>
    </row>
    <row r="421" spans="1:8" x14ac:dyDescent="0.35">
      <c r="A421" s="1" t="s">
        <v>363</v>
      </c>
      <c r="B421" s="1" t="s">
        <v>706</v>
      </c>
      <c r="C421" s="1" t="s">
        <v>9</v>
      </c>
      <c r="D421" s="1" t="s">
        <v>43</v>
      </c>
      <c r="E421" s="1" t="s">
        <v>50</v>
      </c>
      <c r="F421" s="1">
        <v>39237.71</v>
      </c>
      <c r="G421" s="1">
        <v>2575.92</v>
      </c>
      <c r="H421" s="1">
        <v>436</v>
      </c>
    </row>
    <row r="422" spans="1:8" x14ac:dyDescent="0.35">
      <c r="A422" s="1" t="s">
        <v>707</v>
      </c>
      <c r="B422" s="1" t="s">
        <v>708</v>
      </c>
      <c r="C422" s="1" t="s">
        <v>30</v>
      </c>
      <c r="D422" s="1" t="s">
        <v>43</v>
      </c>
      <c r="E422" s="1" t="s">
        <v>47</v>
      </c>
      <c r="F422" s="1">
        <v>37643.67</v>
      </c>
      <c r="G422" s="1">
        <v>7701.01</v>
      </c>
      <c r="H422" s="1">
        <v>808</v>
      </c>
    </row>
    <row r="423" spans="1:8" x14ac:dyDescent="0.35">
      <c r="A423" s="1" t="s">
        <v>709</v>
      </c>
      <c r="B423" s="1" t="s">
        <v>710</v>
      </c>
      <c r="C423" s="1" t="s">
        <v>60</v>
      </c>
      <c r="D423" s="1" t="s">
        <v>31</v>
      </c>
      <c r="E423" s="1" t="s">
        <v>77</v>
      </c>
      <c r="F423" s="1">
        <v>45170.68</v>
      </c>
      <c r="G423" s="1">
        <v>3926.42</v>
      </c>
      <c r="H423" s="1">
        <v>690</v>
      </c>
    </row>
    <row r="424" spans="1:8" x14ac:dyDescent="0.35">
      <c r="A424" s="1" t="s">
        <v>62</v>
      </c>
      <c r="B424" s="1" t="s">
        <v>711</v>
      </c>
      <c r="C424" s="1" t="s">
        <v>60</v>
      </c>
      <c r="D424" s="1" t="s">
        <v>10</v>
      </c>
      <c r="E424" s="1" t="s">
        <v>14</v>
      </c>
      <c r="F424" s="1">
        <v>49158.51</v>
      </c>
      <c r="G424" s="1">
        <v>11978.31</v>
      </c>
      <c r="H424" s="1">
        <v>1195</v>
      </c>
    </row>
    <row r="425" spans="1:8" x14ac:dyDescent="0.35">
      <c r="A425" s="1" t="s">
        <v>131</v>
      </c>
      <c r="B425" s="1" t="s">
        <v>712</v>
      </c>
      <c r="C425" s="1" t="s">
        <v>60</v>
      </c>
      <c r="D425" s="1" t="s">
        <v>10</v>
      </c>
      <c r="E425" s="1" t="s">
        <v>14</v>
      </c>
      <c r="F425" s="1">
        <v>22809.15</v>
      </c>
      <c r="G425" s="1">
        <v>1145.99</v>
      </c>
      <c r="H425" s="1">
        <v>1627</v>
      </c>
    </row>
    <row r="426" spans="1:8" x14ac:dyDescent="0.35">
      <c r="A426" s="1" t="s">
        <v>713</v>
      </c>
      <c r="B426" s="1" t="s">
        <v>714</v>
      </c>
      <c r="C426" s="1" t="s">
        <v>30</v>
      </c>
      <c r="D426" s="1" t="s">
        <v>31</v>
      </c>
      <c r="E426" s="1" t="s">
        <v>74</v>
      </c>
      <c r="F426" s="1">
        <v>1343.44</v>
      </c>
      <c r="G426" s="1">
        <v>198.15</v>
      </c>
      <c r="H426" s="1">
        <v>629</v>
      </c>
    </row>
    <row r="427" spans="1:8" x14ac:dyDescent="0.35">
      <c r="A427" s="1" t="s">
        <v>302</v>
      </c>
      <c r="B427" s="1" t="s">
        <v>715</v>
      </c>
      <c r="C427" s="1" t="s">
        <v>17</v>
      </c>
      <c r="D427" s="1" t="s">
        <v>18</v>
      </c>
      <c r="E427" s="1" t="s">
        <v>61</v>
      </c>
      <c r="F427" s="1">
        <v>36763.79</v>
      </c>
      <c r="G427" s="1">
        <v>5302.22</v>
      </c>
      <c r="H427" s="1">
        <v>268</v>
      </c>
    </row>
    <row r="428" spans="1:8" x14ac:dyDescent="0.35">
      <c r="A428" s="1" t="s">
        <v>716</v>
      </c>
      <c r="B428" s="1" t="s">
        <v>717</v>
      </c>
      <c r="C428" s="1" t="s">
        <v>9</v>
      </c>
      <c r="D428" s="1" t="s">
        <v>43</v>
      </c>
      <c r="E428" s="1" t="s">
        <v>44</v>
      </c>
      <c r="F428" s="1">
        <v>45864.02</v>
      </c>
      <c r="G428" s="1">
        <v>8007.39</v>
      </c>
      <c r="H428" s="1">
        <v>419</v>
      </c>
    </row>
    <row r="429" spans="1:8" x14ac:dyDescent="0.35">
      <c r="A429" s="1" t="s">
        <v>388</v>
      </c>
      <c r="B429" s="1" t="s">
        <v>718</v>
      </c>
      <c r="C429" s="1" t="s">
        <v>17</v>
      </c>
      <c r="D429" s="1" t="s">
        <v>18</v>
      </c>
      <c r="E429" s="1" t="s">
        <v>61</v>
      </c>
      <c r="F429" s="1">
        <v>26963.01</v>
      </c>
      <c r="G429" s="1">
        <v>4575.54</v>
      </c>
      <c r="H429" s="1">
        <v>327</v>
      </c>
    </row>
    <row r="430" spans="1:8" x14ac:dyDescent="0.35">
      <c r="A430" s="1" t="s">
        <v>719</v>
      </c>
      <c r="B430" s="1" t="s">
        <v>720</v>
      </c>
      <c r="C430" s="1" t="s">
        <v>60</v>
      </c>
      <c r="D430" s="1" t="s">
        <v>10</v>
      </c>
      <c r="E430" s="1" t="s">
        <v>14</v>
      </c>
      <c r="F430" s="1">
        <v>34779.01</v>
      </c>
      <c r="G430" s="1">
        <v>1832.09</v>
      </c>
      <c r="H430" s="1">
        <v>200</v>
      </c>
    </row>
    <row r="431" spans="1:8" x14ac:dyDescent="0.35">
      <c r="A431" s="1" t="s">
        <v>449</v>
      </c>
      <c r="B431" s="1" t="s">
        <v>721</v>
      </c>
      <c r="C431" s="1" t="s">
        <v>60</v>
      </c>
      <c r="D431" s="1" t="s">
        <v>10</v>
      </c>
      <c r="E431" s="1" t="s">
        <v>14</v>
      </c>
      <c r="F431" s="1">
        <v>47113.29</v>
      </c>
      <c r="G431" s="1">
        <v>10702.66</v>
      </c>
      <c r="H431" s="1">
        <v>212</v>
      </c>
    </row>
    <row r="432" spans="1:8" x14ac:dyDescent="0.35">
      <c r="A432" s="1" t="s">
        <v>62</v>
      </c>
      <c r="B432" s="1" t="s">
        <v>722</v>
      </c>
      <c r="C432" s="1" t="s">
        <v>17</v>
      </c>
      <c r="D432" s="1" t="s">
        <v>43</v>
      </c>
      <c r="E432" s="1" t="s">
        <v>47</v>
      </c>
      <c r="F432" s="1">
        <v>16281.19</v>
      </c>
      <c r="G432" s="1">
        <v>3556.75</v>
      </c>
      <c r="H432" s="1">
        <v>947</v>
      </c>
    </row>
    <row r="433" spans="1:8" x14ac:dyDescent="0.35">
      <c r="A433" s="1" t="s">
        <v>723</v>
      </c>
      <c r="B433" s="1" t="s">
        <v>724</v>
      </c>
      <c r="C433" s="1" t="s">
        <v>60</v>
      </c>
      <c r="D433" s="1" t="s">
        <v>10</v>
      </c>
      <c r="E433" s="1" t="s">
        <v>22</v>
      </c>
      <c r="F433" s="1">
        <v>11676.45</v>
      </c>
      <c r="G433" s="1">
        <v>1465.41</v>
      </c>
      <c r="H433" s="1">
        <v>373</v>
      </c>
    </row>
    <row r="434" spans="1:8" x14ac:dyDescent="0.35">
      <c r="A434" s="1" t="s">
        <v>318</v>
      </c>
      <c r="B434" s="1" t="s">
        <v>725</v>
      </c>
      <c r="C434" s="1" t="s">
        <v>17</v>
      </c>
      <c r="D434" s="1" t="s">
        <v>31</v>
      </c>
      <c r="E434" s="1" t="s">
        <v>77</v>
      </c>
      <c r="F434" s="1">
        <v>35539.71</v>
      </c>
      <c r="G434" s="1">
        <v>3661.97</v>
      </c>
      <c r="H434" s="1">
        <v>708</v>
      </c>
    </row>
    <row r="435" spans="1:8" x14ac:dyDescent="0.35">
      <c r="A435" s="1" t="s">
        <v>202</v>
      </c>
      <c r="B435" s="1" t="s">
        <v>726</v>
      </c>
      <c r="C435" s="1" t="s">
        <v>30</v>
      </c>
      <c r="D435" s="1" t="s">
        <v>31</v>
      </c>
      <c r="E435" s="1" t="s">
        <v>32</v>
      </c>
      <c r="F435" s="1">
        <v>36745.699999999997</v>
      </c>
      <c r="G435" s="1">
        <v>7182.08</v>
      </c>
      <c r="H435" s="1">
        <v>1982</v>
      </c>
    </row>
    <row r="436" spans="1:8" x14ac:dyDescent="0.35">
      <c r="A436" s="1" t="s">
        <v>155</v>
      </c>
      <c r="B436" s="1" t="s">
        <v>727</v>
      </c>
      <c r="C436" s="1" t="s">
        <v>17</v>
      </c>
      <c r="D436" s="1" t="s">
        <v>10</v>
      </c>
      <c r="E436" s="1" t="s">
        <v>40</v>
      </c>
      <c r="F436" s="1">
        <v>36447.129999999997</v>
      </c>
      <c r="G436" s="1">
        <v>5146.47</v>
      </c>
      <c r="H436" s="1">
        <v>220</v>
      </c>
    </row>
    <row r="437" spans="1:8" x14ac:dyDescent="0.35">
      <c r="A437" s="1" t="s">
        <v>26</v>
      </c>
      <c r="B437" s="1" t="s">
        <v>728</v>
      </c>
      <c r="C437" s="1" t="s">
        <v>30</v>
      </c>
      <c r="D437" s="1" t="s">
        <v>31</v>
      </c>
      <c r="E437" s="1" t="s">
        <v>53</v>
      </c>
      <c r="F437" s="1">
        <v>33332.400000000001</v>
      </c>
      <c r="G437" s="1">
        <v>6051.66</v>
      </c>
      <c r="H437" s="1">
        <v>1175</v>
      </c>
    </row>
    <row r="438" spans="1:8" x14ac:dyDescent="0.35">
      <c r="A438" s="1" t="s">
        <v>729</v>
      </c>
      <c r="B438" s="1" t="s">
        <v>730</v>
      </c>
      <c r="C438" s="1" t="s">
        <v>9</v>
      </c>
      <c r="D438" s="1" t="s">
        <v>18</v>
      </c>
      <c r="E438" s="1" t="s">
        <v>92</v>
      </c>
      <c r="F438" s="1">
        <v>18389.88</v>
      </c>
      <c r="G438" s="1">
        <v>1508.11</v>
      </c>
      <c r="H438" s="1">
        <v>294</v>
      </c>
    </row>
    <row r="439" spans="1:8" x14ac:dyDescent="0.35">
      <c r="A439" s="1" t="s">
        <v>731</v>
      </c>
      <c r="B439" s="1" t="s">
        <v>732</v>
      </c>
      <c r="C439" s="1" t="s">
        <v>30</v>
      </c>
      <c r="D439" s="1" t="s">
        <v>31</v>
      </c>
      <c r="E439" s="1" t="s">
        <v>32</v>
      </c>
      <c r="F439" s="1">
        <v>6688.96</v>
      </c>
      <c r="G439" s="1">
        <v>722.48</v>
      </c>
      <c r="H439" s="1">
        <v>620</v>
      </c>
    </row>
    <row r="440" spans="1:8" x14ac:dyDescent="0.35">
      <c r="A440" s="1" t="s">
        <v>155</v>
      </c>
      <c r="B440" s="1" t="s">
        <v>733</v>
      </c>
      <c r="C440" s="1" t="s">
        <v>60</v>
      </c>
      <c r="D440" s="1" t="s">
        <v>18</v>
      </c>
      <c r="E440" s="1" t="s">
        <v>25</v>
      </c>
      <c r="F440" s="1">
        <v>49767.839999999997</v>
      </c>
      <c r="G440" s="1">
        <v>4616.88</v>
      </c>
      <c r="H440" s="1">
        <v>904</v>
      </c>
    </row>
    <row r="441" spans="1:8" x14ac:dyDescent="0.35">
      <c r="A441" s="1" t="s">
        <v>437</v>
      </c>
      <c r="B441" s="1" t="s">
        <v>734</v>
      </c>
      <c r="C441" s="1" t="s">
        <v>17</v>
      </c>
      <c r="D441" s="1" t="s">
        <v>10</v>
      </c>
      <c r="E441" s="1" t="s">
        <v>14</v>
      </c>
      <c r="F441" s="1">
        <v>8302.32</v>
      </c>
      <c r="G441" s="1">
        <v>694.17</v>
      </c>
      <c r="H441" s="1">
        <v>1282</v>
      </c>
    </row>
    <row r="442" spans="1:8" x14ac:dyDescent="0.35">
      <c r="A442" s="1" t="s">
        <v>735</v>
      </c>
      <c r="B442" s="1" t="s">
        <v>736</v>
      </c>
      <c r="C442" s="1" t="s">
        <v>30</v>
      </c>
      <c r="D442" s="1" t="s">
        <v>18</v>
      </c>
      <c r="E442" s="1" t="s">
        <v>61</v>
      </c>
      <c r="F442" s="1">
        <v>42394.3</v>
      </c>
      <c r="G442" s="1">
        <v>9599.34</v>
      </c>
      <c r="H442" s="1">
        <v>849</v>
      </c>
    </row>
    <row r="443" spans="1:8" x14ac:dyDescent="0.35">
      <c r="A443" s="1" t="s">
        <v>75</v>
      </c>
      <c r="B443" s="1" t="s">
        <v>737</v>
      </c>
      <c r="C443" s="1" t="s">
        <v>17</v>
      </c>
      <c r="D443" s="1" t="s">
        <v>31</v>
      </c>
      <c r="E443" s="1" t="s">
        <v>74</v>
      </c>
      <c r="F443" s="1">
        <v>43922.2</v>
      </c>
      <c r="G443" s="1">
        <v>3817.83</v>
      </c>
      <c r="H443" s="1">
        <v>601</v>
      </c>
    </row>
    <row r="444" spans="1:8" x14ac:dyDescent="0.35">
      <c r="A444" s="1" t="s">
        <v>23</v>
      </c>
      <c r="B444" s="1" t="s">
        <v>738</v>
      </c>
      <c r="C444" s="1" t="s">
        <v>30</v>
      </c>
      <c r="D444" s="1" t="s">
        <v>43</v>
      </c>
      <c r="E444" s="1" t="s">
        <v>111</v>
      </c>
      <c r="F444" s="1">
        <v>42092.58</v>
      </c>
      <c r="G444" s="1">
        <v>6782.57</v>
      </c>
      <c r="H444" s="1">
        <v>976</v>
      </c>
    </row>
    <row r="445" spans="1:8" x14ac:dyDescent="0.35">
      <c r="A445" s="1" t="s">
        <v>739</v>
      </c>
      <c r="B445" s="1" t="s">
        <v>740</v>
      </c>
      <c r="C445" s="1" t="s">
        <v>9</v>
      </c>
      <c r="D445" s="1" t="s">
        <v>10</v>
      </c>
      <c r="E445" s="1" t="s">
        <v>14</v>
      </c>
      <c r="F445" s="1">
        <v>42570.65</v>
      </c>
      <c r="G445" s="1">
        <v>9547.69</v>
      </c>
      <c r="H445" s="1">
        <v>274</v>
      </c>
    </row>
    <row r="446" spans="1:8" x14ac:dyDescent="0.35">
      <c r="A446" s="1" t="s">
        <v>143</v>
      </c>
      <c r="B446" s="1" t="s">
        <v>741</v>
      </c>
      <c r="C446" s="1" t="s">
        <v>17</v>
      </c>
      <c r="D446" s="1" t="s">
        <v>18</v>
      </c>
      <c r="E446" s="1" t="s">
        <v>61</v>
      </c>
      <c r="F446" s="1">
        <v>44125</v>
      </c>
      <c r="G446" s="1">
        <v>3057.05</v>
      </c>
      <c r="H446" s="1">
        <v>920</v>
      </c>
    </row>
    <row r="447" spans="1:8" x14ac:dyDescent="0.35">
      <c r="A447" s="1" t="s">
        <v>742</v>
      </c>
      <c r="B447" s="1" t="s">
        <v>743</v>
      </c>
      <c r="C447" s="1" t="s">
        <v>30</v>
      </c>
      <c r="D447" s="1" t="s">
        <v>31</v>
      </c>
      <c r="E447" s="1" t="s">
        <v>53</v>
      </c>
      <c r="F447" s="1">
        <v>5018.92</v>
      </c>
      <c r="G447" s="1">
        <v>818.22</v>
      </c>
      <c r="H447" s="1">
        <v>1348</v>
      </c>
    </row>
    <row r="448" spans="1:8" x14ac:dyDescent="0.35">
      <c r="A448" s="1" t="s">
        <v>489</v>
      </c>
      <c r="B448" s="1" t="s">
        <v>744</v>
      </c>
      <c r="C448" s="1" t="s">
        <v>60</v>
      </c>
      <c r="D448" s="1" t="s">
        <v>31</v>
      </c>
      <c r="E448" s="1" t="s">
        <v>32</v>
      </c>
      <c r="F448" s="1">
        <v>7237.36</v>
      </c>
      <c r="G448" s="1">
        <v>528.37</v>
      </c>
      <c r="H448" s="1">
        <v>1345</v>
      </c>
    </row>
    <row r="449" spans="1:8" x14ac:dyDescent="0.35">
      <c r="A449" s="1" t="s">
        <v>590</v>
      </c>
      <c r="B449" s="1" t="s">
        <v>745</v>
      </c>
      <c r="C449" s="1" t="s">
        <v>30</v>
      </c>
      <c r="D449" s="1" t="s">
        <v>18</v>
      </c>
      <c r="E449" s="1" t="s">
        <v>25</v>
      </c>
      <c r="F449" s="1">
        <v>9027.68</v>
      </c>
      <c r="G449" s="1">
        <v>512.66</v>
      </c>
      <c r="H449" s="1">
        <v>793</v>
      </c>
    </row>
    <row r="450" spans="1:8" x14ac:dyDescent="0.35">
      <c r="A450" s="1" t="s">
        <v>746</v>
      </c>
      <c r="B450" s="1" t="s">
        <v>747</v>
      </c>
      <c r="C450" s="1" t="s">
        <v>17</v>
      </c>
      <c r="D450" s="1" t="s">
        <v>18</v>
      </c>
      <c r="E450" s="1" t="s">
        <v>61</v>
      </c>
      <c r="F450" s="1">
        <v>35904.76</v>
      </c>
      <c r="G450" s="1">
        <v>6198.72</v>
      </c>
      <c r="H450" s="1">
        <v>1438</v>
      </c>
    </row>
    <row r="451" spans="1:8" x14ac:dyDescent="0.35">
      <c r="A451" s="1" t="s">
        <v>489</v>
      </c>
      <c r="B451" s="1" t="s">
        <v>748</v>
      </c>
      <c r="C451" s="1" t="s">
        <v>17</v>
      </c>
      <c r="D451" s="1" t="s">
        <v>10</v>
      </c>
      <c r="E451" s="1" t="s">
        <v>11</v>
      </c>
      <c r="F451" s="1">
        <v>43215.09</v>
      </c>
      <c r="G451" s="1">
        <v>5749.31</v>
      </c>
      <c r="H451" s="1">
        <v>1472</v>
      </c>
    </row>
    <row r="452" spans="1:8" x14ac:dyDescent="0.35">
      <c r="A452" s="1" t="s">
        <v>375</v>
      </c>
      <c r="B452" s="1" t="s">
        <v>749</v>
      </c>
      <c r="C452" s="1" t="s">
        <v>17</v>
      </c>
      <c r="D452" s="1" t="s">
        <v>18</v>
      </c>
      <c r="E452" s="1" t="s">
        <v>61</v>
      </c>
      <c r="F452" s="1">
        <v>3385.24</v>
      </c>
      <c r="G452" s="1">
        <v>663.01</v>
      </c>
      <c r="H452" s="1">
        <v>1914</v>
      </c>
    </row>
    <row r="453" spans="1:8" x14ac:dyDescent="0.35">
      <c r="A453" s="1" t="s">
        <v>750</v>
      </c>
      <c r="B453" s="1" t="s">
        <v>751</v>
      </c>
      <c r="C453" s="1" t="s">
        <v>60</v>
      </c>
      <c r="D453" s="1" t="s">
        <v>10</v>
      </c>
      <c r="E453" s="1" t="s">
        <v>11</v>
      </c>
      <c r="F453" s="1">
        <v>36950.800000000003</v>
      </c>
      <c r="G453" s="1">
        <v>4533.84</v>
      </c>
      <c r="H453" s="1">
        <v>1053</v>
      </c>
    </row>
    <row r="454" spans="1:8" x14ac:dyDescent="0.35">
      <c r="A454" s="1" t="s">
        <v>129</v>
      </c>
      <c r="B454" s="1" t="s">
        <v>752</v>
      </c>
      <c r="C454" s="1" t="s">
        <v>60</v>
      </c>
      <c r="D454" s="1" t="s">
        <v>43</v>
      </c>
      <c r="E454" s="1" t="s">
        <v>44</v>
      </c>
      <c r="F454" s="1">
        <v>4134.3</v>
      </c>
      <c r="G454" s="1">
        <v>378.22</v>
      </c>
      <c r="H454" s="1">
        <v>1500</v>
      </c>
    </row>
    <row r="455" spans="1:8" x14ac:dyDescent="0.35">
      <c r="A455" s="1" t="s">
        <v>458</v>
      </c>
      <c r="B455" s="1" t="s">
        <v>753</v>
      </c>
      <c r="C455" s="1" t="s">
        <v>17</v>
      </c>
      <c r="D455" s="1" t="s">
        <v>18</v>
      </c>
      <c r="E455" s="1" t="s">
        <v>61</v>
      </c>
      <c r="F455" s="1">
        <v>39418.199999999997</v>
      </c>
      <c r="G455" s="1">
        <v>9697.3799999999992</v>
      </c>
      <c r="H455" s="1">
        <v>623</v>
      </c>
    </row>
    <row r="456" spans="1:8" x14ac:dyDescent="0.35">
      <c r="A456" s="1" t="s">
        <v>713</v>
      </c>
      <c r="B456" s="1" t="s">
        <v>754</v>
      </c>
      <c r="C456" s="1" t="s">
        <v>30</v>
      </c>
      <c r="D456" s="1" t="s">
        <v>18</v>
      </c>
      <c r="E456" s="1" t="s">
        <v>25</v>
      </c>
      <c r="F456" s="1">
        <v>3097.76</v>
      </c>
      <c r="G456" s="1">
        <v>469.39</v>
      </c>
      <c r="H456" s="1">
        <v>1479</v>
      </c>
    </row>
    <row r="457" spans="1:8" x14ac:dyDescent="0.35">
      <c r="A457" s="1" t="s">
        <v>386</v>
      </c>
      <c r="B457" s="1" t="s">
        <v>755</v>
      </c>
      <c r="C457" s="1" t="s">
        <v>17</v>
      </c>
      <c r="D457" s="1" t="s">
        <v>43</v>
      </c>
      <c r="E457" s="1" t="s">
        <v>111</v>
      </c>
      <c r="F457" s="1">
        <v>5940.23</v>
      </c>
      <c r="G457" s="1">
        <v>957.56</v>
      </c>
      <c r="H457" s="1">
        <v>1858</v>
      </c>
    </row>
    <row r="458" spans="1:8" x14ac:dyDescent="0.35">
      <c r="A458" s="1" t="s">
        <v>656</v>
      </c>
      <c r="B458" s="1" t="s">
        <v>756</v>
      </c>
      <c r="C458" s="1" t="s">
        <v>9</v>
      </c>
      <c r="D458" s="1" t="s">
        <v>10</v>
      </c>
      <c r="E458" s="1" t="s">
        <v>40</v>
      </c>
      <c r="F458" s="1">
        <v>21114.880000000001</v>
      </c>
      <c r="G458" s="1">
        <v>3546.96</v>
      </c>
      <c r="H458" s="1">
        <v>1309</v>
      </c>
    </row>
    <row r="459" spans="1:8" x14ac:dyDescent="0.35">
      <c r="A459" s="1" t="s">
        <v>723</v>
      </c>
      <c r="B459" s="1" t="s">
        <v>757</v>
      </c>
      <c r="C459" s="1" t="s">
        <v>30</v>
      </c>
      <c r="D459" s="1" t="s">
        <v>18</v>
      </c>
      <c r="E459" s="1" t="s">
        <v>25</v>
      </c>
      <c r="F459" s="1">
        <v>46914.78</v>
      </c>
      <c r="G459" s="1">
        <v>2574.6999999999998</v>
      </c>
      <c r="H459" s="1">
        <v>282</v>
      </c>
    </row>
    <row r="460" spans="1:8" x14ac:dyDescent="0.35">
      <c r="A460" s="1" t="s">
        <v>84</v>
      </c>
      <c r="B460" s="1" t="s">
        <v>758</v>
      </c>
      <c r="C460" s="1" t="s">
        <v>30</v>
      </c>
      <c r="D460" s="1" t="s">
        <v>18</v>
      </c>
      <c r="E460" s="1" t="s">
        <v>25</v>
      </c>
      <c r="F460" s="1">
        <v>27482.41</v>
      </c>
      <c r="G460" s="1">
        <v>2178.4499999999998</v>
      </c>
      <c r="H460" s="1">
        <v>261</v>
      </c>
    </row>
    <row r="461" spans="1:8" x14ac:dyDescent="0.35">
      <c r="A461" s="1" t="s">
        <v>348</v>
      </c>
      <c r="B461" s="1" t="s">
        <v>759</v>
      </c>
      <c r="C461" s="1" t="s">
        <v>9</v>
      </c>
      <c r="D461" s="1" t="s">
        <v>10</v>
      </c>
      <c r="E461" s="1" t="s">
        <v>11</v>
      </c>
      <c r="F461" s="1">
        <v>23697.02</v>
      </c>
      <c r="G461" s="1">
        <v>2287.42</v>
      </c>
      <c r="H461" s="1">
        <v>419</v>
      </c>
    </row>
    <row r="462" spans="1:8" x14ac:dyDescent="0.35">
      <c r="A462" s="1" t="s">
        <v>36</v>
      </c>
      <c r="B462" s="1" t="s">
        <v>760</v>
      </c>
      <c r="C462" s="1" t="s">
        <v>60</v>
      </c>
      <c r="D462" s="1" t="s">
        <v>10</v>
      </c>
      <c r="E462" s="1" t="s">
        <v>14</v>
      </c>
      <c r="F462" s="1">
        <v>21549.91</v>
      </c>
      <c r="G462" s="1">
        <v>3865.82</v>
      </c>
      <c r="H462" s="1">
        <v>1944</v>
      </c>
    </row>
    <row r="463" spans="1:8" x14ac:dyDescent="0.35">
      <c r="A463" s="1" t="s">
        <v>103</v>
      </c>
      <c r="B463" s="1" t="s">
        <v>761</v>
      </c>
      <c r="C463" s="1" t="s">
        <v>30</v>
      </c>
      <c r="D463" s="1" t="s">
        <v>31</v>
      </c>
      <c r="E463" s="1" t="s">
        <v>74</v>
      </c>
      <c r="F463" s="1">
        <v>38813.72</v>
      </c>
      <c r="G463" s="1">
        <v>5760.69</v>
      </c>
      <c r="H463" s="1">
        <v>834</v>
      </c>
    </row>
    <row r="464" spans="1:8" x14ac:dyDescent="0.35">
      <c r="A464" s="1" t="s">
        <v>213</v>
      </c>
      <c r="B464" s="1" t="s">
        <v>762</v>
      </c>
      <c r="C464" s="1" t="s">
        <v>30</v>
      </c>
      <c r="D464" s="1" t="s">
        <v>31</v>
      </c>
      <c r="E464" s="1" t="s">
        <v>74</v>
      </c>
      <c r="F464" s="1">
        <v>45557.78</v>
      </c>
      <c r="G464" s="1">
        <v>9588.57</v>
      </c>
      <c r="H464" s="1">
        <v>1077</v>
      </c>
    </row>
    <row r="465" spans="1:8" x14ac:dyDescent="0.35">
      <c r="A465" s="1" t="s">
        <v>137</v>
      </c>
      <c r="B465" s="1" t="s">
        <v>763</v>
      </c>
      <c r="C465" s="1" t="s">
        <v>9</v>
      </c>
      <c r="D465" s="1" t="s">
        <v>43</v>
      </c>
      <c r="E465" s="1" t="s">
        <v>111</v>
      </c>
      <c r="F465" s="1">
        <v>48787.22</v>
      </c>
      <c r="G465" s="1">
        <v>7455.49</v>
      </c>
      <c r="H465" s="1">
        <v>1582</v>
      </c>
    </row>
    <row r="466" spans="1:8" x14ac:dyDescent="0.35">
      <c r="A466" s="1" t="s">
        <v>194</v>
      </c>
      <c r="B466" s="1" t="s">
        <v>764</v>
      </c>
      <c r="C466" s="1" t="s">
        <v>17</v>
      </c>
      <c r="D466" s="1" t="s">
        <v>10</v>
      </c>
      <c r="E466" s="1" t="s">
        <v>11</v>
      </c>
      <c r="F466" s="1">
        <v>33021.72</v>
      </c>
      <c r="G466" s="1">
        <v>5629.82</v>
      </c>
      <c r="H466" s="1">
        <v>1825</v>
      </c>
    </row>
    <row r="467" spans="1:8" x14ac:dyDescent="0.35">
      <c r="A467" s="1" t="s">
        <v>765</v>
      </c>
      <c r="B467" s="1" t="s">
        <v>766</v>
      </c>
      <c r="C467" s="1" t="s">
        <v>17</v>
      </c>
      <c r="D467" s="1" t="s">
        <v>43</v>
      </c>
      <c r="E467" s="1" t="s">
        <v>44</v>
      </c>
      <c r="F467" s="1">
        <v>48843.09</v>
      </c>
      <c r="G467" s="1">
        <v>4406.8999999999996</v>
      </c>
      <c r="H467" s="1">
        <v>218</v>
      </c>
    </row>
    <row r="468" spans="1:8" x14ac:dyDescent="0.35">
      <c r="A468" s="1" t="s">
        <v>345</v>
      </c>
      <c r="B468" s="1" t="s">
        <v>767</v>
      </c>
      <c r="C468" s="1" t="s">
        <v>9</v>
      </c>
      <c r="D468" s="1" t="s">
        <v>43</v>
      </c>
      <c r="E468" s="1" t="s">
        <v>44</v>
      </c>
      <c r="F468" s="1">
        <v>46061.86</v>
      </c>
      <c r="G468" s="1">
        <v>5838.73</v>
      </c>
      <c r="H468" s="1">
        <v>1480</v>
      </c>
    </row>
    <row r="469" spans="1:8" x14ac:dyDescent="0.35">
      <c r="A469" s="1" t="s">
        <v>768</v>
      </c>
      <c r="B469" s="1" t="s">
        <v>769</v>
      </c>
      <c r="C469" s="1" t="s">
        <v>60</v>
      </c>
      <c r="D469" s="1" t="s">
        <v>43</v>
      </c>
      <c r="E469" s="1" t="s">
        <v>47</v>
      </c>
      <c r="F469" s="1">
        <v>17910.27</v>
      </c>
      <c r="G469" s="1">
        <v>3418.38</v>
      </c>
      <c r="H469" s="1">
        <v>1326</v>
      </c>
    </row>
    <row r="470" spans="1:8" x14ac:dyDescent="0.35">
      <c r="A470" s="1" t="s">
        <v>770</v>
      </c>
      <c r="B470" s="1" t="s">
        <v>771</v>
      </c>
      <c r="C470" s="1" t="s">
        <v>17</v>
      </c>
      <c r="D470" s="1" t="s">
        <v>31</v>
      </c>
      <c r="E470" s="1" t="s">
        <v>77</v>
      </c>
      <c r="F470" s="1">
        <v>26081.919999999998</v>
      </c>
      <c r="G470" s="1">
        <v>3060.59</v>
      </c>
      <c r="H470" s="1">
        <v>364</v>
      </c>
    </row>
    <row r="471" spans="1:8" x14ac:dyDescent="0.35">
      <c r="A471" s="1" t="s">
        <v>365</v>
      </c>
      <c r="B471" s="1" t="s">
        <v>772</v>
      </c>
      <c r="C471" s="1" t="s">
        <v>9</v>
      </c>
      <c r="D471" s="1" t="s">
        <v>31</v>
      </c>
      <c r="E471" s="1" t="s">
        <v>77</v>
      </c>
      <c r="F471" s="1">
        <v>18864.18</v>
      </c>
      <c r="G471" s="1">
        <v>3386.95</v>
      </c>
      <c r="H471" s="1">
        <v>343</v>
      </c>
    </row>
    <row r="472" spans="1:8" x14ac:dyDescent="0.35">
      <c r="A472" s="1" t="s">
        <v>147</v>
      </c>
      <c r="B472" s="1" t="s">
        <v>773</v>
      </c>
      <c r="C472" s="1" t="s">
        <v>17</v>
      </c>
      <c r="D472" s="1" t="s">
        <v>10</v>
      </c>
      <c r="E472" s="1" t="s">
        <v>22</v>
      </c>
      <c r="F472" s="1">
        <v>15632.88</v>
      </c>
      <c r="G472" s="1">
        <v>3288.57</v>
      </c>
      <c r="H472" s="1">
        <v>1954</v>
      </c>
    </row>
    <row r="473" spans="1:8" x14ac:dyDescent="0.35">
      <c r="A473" s="1" t="s">
        <v>20</v>
      </c>
      <c r="B473" s="1" t="s">
        <v>774</v>
      </c>
      <c r="C473" s="1" t="s">
        <v>17</v>
      </c>
      <c r="D473" s="1" t="s">
        <v>31</v>
      </c>
      <c r="E473" s="1" t="s">
        <v>74</v>
      </c>
      <c r="F473" s="1">
        <v>38686.46</v>
      </c>
      <c r="G473" s="1">
        <v>4804.28</v>
      </c>
      <c r="H473" s="1">
        <v>722</v>
      </c>
    </row>
    <row r="474" spans="1:8" x14ac:dyDescent="0.35">
      <c r="A474" s="1" t="s">
        <v>632</v>
      </c>
      <c r="B474" s="1" t="s">
        <v>775</v>
      </c>
      <c r="C474" s="1" t="s">
        <v>60</v>
      </c>
      <c r="D474" s="1" t="s">
        <v>43</v>
      </c>
      <c r="E474" s="1" t="s">
        <v>47</v>
      </c>
      <c r="F474" s="1">
        <v>41927.449999999997</v>
      </c>
      <c r="G474" s="1">
        <v>2536.96</v>
      </c>
      <c r="H474" s="1">
        <v>1589</v>
      </c>
    </row>
    <row r="475" spans="1:8" x14ac:dyDescent="0.35">
      <c r="A475" s="1" t="s">
        <v>95</v>
      </c>
      <c r="B475" s="1" t="s">
        <v>776</v>
      </c>
      <c r="C475" s="1" t="s">
        <v>9</v>
      </c>
      <c r="D475" s="1" t="s">
        <v>31</v>
      </c>
      <c r="E475" s="1" t="s">
        <v>32</v>
      </c>
      <c r="F475" s="1">
        <v>29419.98</v>
      </c>
      <c r="G475" s="1">
        <v>4585.42</v>
      </c>
      <c r="H475" s="1">
        <v>527</v>
      </c>
    </row>
    <row r="476" spans="1:8" x14ac:dyDescent="0.35">
      <c r="A476" s="1" t="s">
        <v>370</v>
      </c>
      <c r="B476" s="1" t="s">
        <v>777</v>
      </c>
      <c r="C476" s="1" t="s">
        <v>60</v>
      </c>
      <c r="D476" s="1" t="s">
        <v>31</v>
      </c>
      <c r="E476" s="1" t="s">
        <v>53</v>
      </c>
      <c r="F476" s="1">
        <v>38984.199999999997</v>
      </c>
      <c r="G476" s="1">
        <v>5904.68</v>
      </c>
      <c r="H476" s="1">
        <v>1675</v>
      </c>
    </row>
    <row r="477" spans="1:8" x14ac:dyDescent="0.35">
      <c r="A477" s="1" t="s">
        <v>147</v>
      </c>
      <c r="B477" s="1" t="s">
        <v>778</v>
      </c>
      <c r="C477" s="1" t="s">
        <v>30</v>
      </c>
      <c r="D477" s="1" t="s">
        <v>18</v>
      </c>
      <c r="E477" s="1" t="s">
        <v>61</v>
      </c>
      <c r="F477" s="1">
        <v>43110.12</v>
      </c>
      <c r="G477" s="1">
        <v>7307.66</v>
      </c>
      <c r="H477" s="1">
        <v>195</v>
      </c>
    </row>
    <row r="478" spans="1:8" x14ac:dyDescent="0.35">
      <c r="A478" s="1" t="s">
        <v>779</v>
      </c>
      <c r="B478" s="1" t="s">
        <v>780</v>
      </c>
      <c r="C478" s="1" t="s">
        <v>60</v>
      </c>
      <c r="D478" s="1" t="s">
        <v>31</v>
      </c>
      <c r="E478" s="1" t="s">
        <v>53</v>
      </c>
      <c r="F478" s="1">
        <v>9361.9</v>
      </c>
      <c r="G478" s="1">
        <v>2043.29</v>
      </c>
      <c r="H478" s="1">
        <v>1082</v>
      </c>
    </row>
    <row r="479" spans="1:8" x14ac:dyDescent="0.35">
      <c r="A479" s="1" t="s">
        <v>105</v>
      </c>
      <c r="B479" s="1" t="s">
        <v>781</v>
      </c>
      <c r="C479" s="1" t="s">
        <v>60</v>
      </c>
      <c r="D479" s="1" t="s">
        <v>18</v>
      </c>
      <c r="E479" s="1" t="s">
        <v>25</v>
      </c>
      <c r="F479" s="1">
        <v>28997.42</v>
      </c>
      <c r="G479" s="1">
        <v>7209.71</v>
      </c>
      <c r="H479" s="1">
        <v>374</v>
      </c>
    </row>
    <row r="480" spans="1:8" x14ac:dyDescent="0.35">
      <c r="A480" s="1" t="s">
        <v>540</v>
      </c>
      <c r="B480" s="1" t="s">
        <v>782</v>
      </c>
      <c r="C480" s="1" t="s">
        <v>60</v>
      </c>
      <c r="D480" s="1" t="s">
        <v>31</v>
      </c>
      <c r="E480" s="1" t="s">
        <v>77</v>
      </c>
      <c r="F480" s="1">
        <v>30857.38</v>
      </c>
      <c r="G480" s="1">
        <v>2543.25</v>
      </c>
      <c r="H480" s="1">
        <v>525</v>
      </c>
    </row>
    <row r="481" spans="1:8" x14ac:dyDescent="0.35">
      <c r="A481" s="1" t="s">
        <v>739</v>
      </c>
      <c r="B481" s="1" t="s">
        <v>783</v>
      </c>
      <c r="C481" s="1" t="s">
        <v>30</v>
      </c>
      <c r="D481" s="1" t="s">
        <v>31</v>
      </c>
      <c r="E481" s="1" t="s">
        <v>77</v>
      </c>
      <c r="F481" s="1">
        <v>33309.86</v>
      </c>
      <c r="G481" s="1">
        <v>8162.81</v>
      </c>
      <c r="H481" s="1">
        <v>951</v>
      </c>
    </row>
    <row r="482" spans="1:8" x14ac:dyDescent="0.35">
      <c r="A482" s="1" t="s">
        <v>460</v>
      </c>
      <c r="B482" s="1" t="s">
        <v>784</v>
      </c>
      <c r="C482" s="1" t="s">
        <v>9</v>
      </c>
      <c r="D482" s="1" t="s">
        <v>43</v>
      </c>
      <c r="E482" s="1" t="s">
        <v>111</v>
      </c>
      <c r="F482" s="1">
        <v>35860.720000000001</v>
      </c>
      <c r="G482" s="1">
        <v>5650.6</v>
      </c>
      <c r="H482" s="1">
        <v>1775</v>
      </c>
    </row>
    <row r="483" spans="1:8" x14ac:dyDescent="0.35">
      <c r="A483" s="1" t="s">
        <v>515</v>
      </c>
      <c r="B483" s="1" t="s">
        <v>785</v>
      </c>
      <c r="C483" s="1" t="s">
        <v>60</v>
      </c>
      <c r="D483" s="1" t="s">
        <v>18</v>
      </c>
      <c r="E483" s="1" t="s">
        <v>61</v>
      </c>
      <c r="F483" s="1">
        <v>9123.26</v>
      </c>
      <c r="G483" s="1">
        <v>701.01</v>
      </c>
      <c r="H483" s="1">
        <v>41</v>
      </c>
    </row>
    <row r="484" spans="1:8" x14ac:dyDescent="0.35">
      <c r="A484" s="1" t="s">
        <v>408</v>
      </c>
      <c r="B484" s="1" t="s">
        <v>786</v>
      </c>
      <c r="C484" s="1" t="s">
        <v>30</v>
      </c>
      <c r="D484" s="1" t="s">
        <v>18</v>
      </c>
      <c r="E484" s="1" t="s">
        <v>61</v>
      </c>
      <c r="F484" s="1">
        <v>37155.83</v>
      </c>
      <c r="G484" s="1">
        <v>7865.27</v>
      </c>
      <c r="H484" s="1">
        <v>457</v>
      </c>
    </row>
    <row r="485" spans="1:8" x14ac:dyDescent="0.35">
      <c r="A485" s="1" t="s">
        <v>641</v>
      </c>
      <c r="B485" s="1" t="s">
        <v>787</v>
      </c>
      <c r="C485" s="1" t="s">
        <v>9</v>
      </c>
      <c r="D485" s="1" t="s">
        <v>18</v>
      </c>
      <c r="E485" s="1" t="s">
        <v>25</v>
      </c>
      <c r="F485" s="1">
        <v>24732.880000000001</v>
      </c>
      <c r="G485" s="1">
        <v>3602.23</v>
      </c>
      <c r="H485" s="1">
        <v>188</v>
      </c>
    </row>
    <row r="486" spans="1:8" x14ac:dyDescent="0.35">
      <c r="A486" s="1" t="s">
        <v>649</v>
      </c>
      <c r="B486" s="1" t="s">
        <v>788</v>
      </c>
      <c r="C486" s="1" t="s">
        <v>17</v>
      </c>
      <c r="D486" s="1" t="s">
        <v>43</v>
      </c>
      <c r="E486" s="1" t="s">
        <v>50</v>
      </c>
      <c r="F486" s="1">
        <v>42853.08</v>
      </c>
      <c r="G486" s="1">
        <v>2825.09</v>
      </c>
      <c r="H486" s="1">
        <v>241</v>
      </c>
    </row>
    <row r="487" spans="1:8" x14ac:dyDescent="0.35">
      <c r="A487" s="1" t="s">
        <v>211</v>
      </c>
      <c r="B487" s="1" t="s">
        <v>789</v>
      </c>
      <c r="C487" s="1" t="s">
        <v>17</v>
      </c>
      <c r="D487" s="1" t="s">
        <v>31</v>
      </c>
      <c r="E487" s="1" t="s">
        <v>32</v>
      </c>
      <c r="F487" s="1">
        <v>39959.43</v>
      </c>
      <c r="G487" s="1">
        <v>3987.82</v>
      </c>
      <c r="H487" s="1">
        <v>1814</v>
      </c>
    </row>
    <row r="488" spans="1:8" x14ac:dyDescent="0.35">
      <c r="A488" s="1" t="s">
        <v>790</v>
      </c>
      <c r="B488" s="1" t="s">
        <v>791</v>
      </c>
      <c r="C488" s="1" t="s">
        <v>60</v>
      </c>
      <c r="D488" s="1" t="s">
        <v>31</v>
      </c>
      <c r="E488" s="1" t="s">
        <v>77</v>
      </c>
      <c r="F488" s="1">
        <v>30758.36</v>
      </c>
      <c r="G488" s="1">
        <v>3220.3</v>
      </c>
      <c r="H488" s="1">
        <v>421</v>
      </c>
    </row>
    <row r="489" spans="1:8" x14ac:dyDescent="0.35">
      <c r="A489" s="1" t="s">
        <v>51</v>
      </c>
      <c r="B489" s="1" t="s">
        <v>792</v>
      </c>
      <c r="C489" s="1" t="s">
        <v>60</v>
      </c>
      <c r="D489" s="1" t="s">
        <v>18</v>
      </c>
      <c r="E489" s="1" t="s">
        <v>25</v>
      </c>
      <c r="F489" s="1">
        <v>23718.42</v>
      </c>
      <c r="G489" s="1">
        <v>3750.47</v>
      </c>
      <c r="H489" s="1">
        <v>519</v>
      </c>
    </row>
    <row r="490" spans="1:8" x14ac:dyDescent="0.35">
      <c r="A490" s="1" t="s">
        <v>484</v>
      </c>
      <c r="B490" s="1" t="s">
        <v>793</v>
      </c>
      <c r="C490" s="1" t="s">
        <v>60</v>
      </c>
      <c r="D490" s="1" t="s">
        <v>31</v>
      </c>
      <c r="E490" s="1" t="s">
        <v>53</v>
      </c>
      <c r="F490" s="1">
        <v>41518.36</v>
      </c>
      <c r="G490" s="1">
        <v>6801.53</v>
      </c>
      <c r="H490" s="1">
        <v>1820</v>
      </c>
    </row>
    <row r="491" spans="1:8" x14ac:dyDescent="0.35">
      <c r="A491" s="1" t="s">
        <v>794</v>
      </c>
      <c r="B491" s="1" t="s">
        <v>795</v>
      </c>
      <c r="C491" s="1" t="s">
        <v>60</v>
      </c>
      <c r="D491" s="1" t="s">
        <v>18</v>
      </c>
      <c r="E491" s="1" t="s">
        <v>92</v>
      </c>
      <c r="F491" s="1">
        <v>34454.76</v>
      </c>
      <c r="G491" s="1">
        <v>4032.17</v>
      </c>
      <c r="H491" s="1">
        <v>1316</v>
      </c>
    </row>
    <row r="492" spans="1:8" x14ac:dyDescent="0.35">
      <c r="A492" s="1" t="s">
        <v>285</v>
      </c>
      <c r="B492" s="1" t="s">
        <v>796</v>
      </c>
      <c r="C492" s="1" t="s">
        <v>17</v>
      </c>
      <c r="D492" s="1" t="s">
        <v>43</v>
      </c>
      <c r="E492" s="1" t="s">
        <v>44</v>
      </c>
      <c r="F492" s="1">
        <v>11461.42</v>
      </c>
      <c r="G492" s="1">
        <v>2210.34</v>
      </c>
      <c r="H492" s="1">
        <v>494</v>
      </c>
    </row>
    <row r="493" spans="1:8" x14ac:dyDescent="0.35">
      <c r="A493" s="1" t="s">
        <v>133</v>
      </c>
      <c r="B493" s="1" t="s">
        <v>797</v>
      </c>
      <c r="C493" s="1" t="s">
        <v>30</v>
      </c>
      <c r="D493" s="1" t="s">
        <v>10</v>
      </c>
      <c r="E493" s="1" t="s">
        <v>14</v>
      </c>
      <c r="F493" s="1">
        <v>31708.68</v>
      </c>
      <c r="G493" s="1">
        <v>3918.37</v>
      </c>
      <c r="H493" s="1">
        <v>12</v>
      </c>
    </row>
    <row r="494" spans="1:8" x14ac:dyDescent="0.35">
      <c r="A494" s="1" t="s">
        <v>555</v>
      </c>
      <c r="B494" s="1" t="s">
        <v>798</v>
      </c>
      <c r="C494" s="1" t="s">
        <v>9</v>
      </c>
      <c r="D494" s="1" t="s">
        <v>43</v>
      </c>
      <c r="E494" s="1" t="s">
        <v>111</v>
      </c>
      <c r="F494" s="1">
        <v>45113.95</v>
      </c>
      <c r="G494" s="1">
        <v>8230.89</v>
      </c>
      <c r="H494" s="1">
        <v>1131</v>
      </c>
    </row>
    <row r="495" spans="1:8" x14ac:dyDescent="0.35">
      <c r="A495" s="1" t="s">
        <v>799</v>
      </c>
      <c r="B495" s="1" t="s">
        <v>800</v>
      </c>
      <c r="C495" s="1" t="s">
        <v>17</v>
      </c>
      <c r="D495" s="1" t="s">
        <v>18</v>
      </c>
      <c r="E495" s="1" t="s">
        <v>19</v>
      </c>
      <c r="F495" s="1">
        <v>32532.58</v>
      </c>
      <c r="G495" s="1">
        <v>4634.33</v>
      </c>
      <c r="H495" s="1">
        <v>419</v>
      </c>
    </row>
    <row r="496" spans="1:8" x14ac:dyDescent="0.35">
      <c r="A496" s="1" t="s">
        <v>801</v>
      </c>
      <c r="B496" s="1" t="s">
        <v>802</v>
      </c>
      <c r="C496" s="1" t="s">
        <v>17</v>
      </c>
      <c r="D496" s="1" t="s">
        <v>18</v>
      </c>
      <c r="E496" s="1" t="s">
        <v>92</v>
      </c>
      <c r="F496" s="1">
        <v>43624.74</v>
      </c>
      <c r="G496" s="1">
        <v>3076.46</v>
      </c>
      <c r="H496" s="1">
        <v>548</v>
      </c>
    </row>
    <row r="497" spans="1:8" x14ac:dyDescent="0.35">
      <c r="A497" s="1" t="s">
        <v>803</v>
      </c>
      <c r="B497" s="1" t="s">
        <v>804</v>
      </c>
      <c r="C497" s="1" t="s">
        <v>9</v>
      </c>
      <c r="D497" s="1" t="s">
        <v>43</v>
      </c>
      <c r="E497" s="1" t="s">
        <v>44</v>
      </c>
      <c r="F497" s="1">
        <v>42327.76</v>
      </c>
      <c r="G497" s="1">
        <v>5300.72</v>
      </c>
      <c r="H497" s="1">
        <v>366</v>
      </c>
    </row>
    <row r="498" spans="1:8" x14ac:dyDescent="0.35">
      <c r="A498" s="1" t="s">
        <v>805</v>
      </c>
      <c r="B498" s="1" t="s">
        <v>806</v>
      </c>
      <c r="C498" s="1" t="s">
        <v>9</v>
      </c>
      <c r="D498" s="1" t="s">
        <v>43</v>
      </c>
      <c r="E498" s="1" t="s">
        <v>111</v>
      </c>
      <c r="F498" s="1">
        <v>1650.06</v>
      </c>
      <c r="G498" s="1">
        <v>108.59</v>
      </c>
      <c r="H498" s="1">
        <v>498</v>
      </c>
    </row>
    <row r="499" spans="1:8" x14ac:dyDescent="0.35">
      <c r="A499" s="1" t="s">
        <v>312</v>
      </c>
      <c r="B499" s="1" t="s">
        <v>807</v>
      </c>
      <c r="C499" s="1" t="s">
        <v>17</v>
      </c>
      <c r="D499" s="1" t="s">
        <v>43</v>
      </c>
      <c r="E499" s="1" t="s">
        <v>47</v>
      </c>
      <c r="F499" s="1">
        <v>4963</v>
      </c>
      <c r="G499" s="1">
        <v>707.12</v>
      </c>
      <c r="H499" s="1">
        <v>395</v>
      </c>
    </row>
    <row r="500" spans="1:8" x14ac:dyDescent="0.35">
      <c r="A500" s="1" t="s">
        <v>321</v>
      </c>
      <c r="B500" s="1" t="s">
        <v>808</v>
      </c>
      <c r="C500" s="1" t="s">
        <v>9</v>
      </c>
      <c r="D500" s="1" t="s">
        <v>31</v>
      </c>
      <c r="E500" s="1" t="s">
        <v>77</v>
      </c>
      <c r="F500" s="1">
        <v>1544.59</v>
      </c>
      <c r="G500" s="1">
        <v>227.61</v>
      </c>
      <c r="H500" s="1">
        <v>1104</v>
      </c>
    </row>
    <row r="501" spans="1:8" x14ac:dyDescent="0.35">
      <c r="A501" s="1" t="s">
        <v>570</v>
      </c>
      <c r="B501" s="1" t="s">
        <v>809</v>
      </c>
      <c r="C501" s="1" t="s">
        <v>9</v>
      </c>
      <c r="D501" s="1" t="s">
        <v>18</v>
      </c>
      <c r="E501" s="1" t="s">
        <v>25</v>
      </c>
      <c r="F501" s="1">
        <v>19071.32</v>
      </c>
      <c r="G501" s="1">
        <v>4554.03</v>
      </c>
      <c r="H501" s="1">
        <v>1517</v>
      </c>
    </row>
    <row r="502" spans="1:8" x14ac:dyDescent="0.35">
      <c r="A502" s="1" t="s">
        <v>413</v>
      </c>
      <c r="B502" s="1" t="s">
        <v>810</v>
      </c>
      <c r="C502" s="1" t="s">
        <v>9</v>
      </c>
      <c r="D502" s="1" t="s">
        <v>43</v>
      </c>
      <c r="E502" s="1" t="s">
        <v>111</v>
      </c>
      <c r="F502" s="1">
        <v>31620.75</v>
      </c>
      <c r="G502" s="1">
        <v>3249.54</v>
      </c>
      <c r="H502" s="1">
        <v>1442</v>
      </c>
    </row>
    <row r="503" spans="1:8" x14ac:dyDescent="0.35">
      <c r="A503" s="1" t="s">
        <v>114</v>
      </c>
      <c r="B503" s="1" t="s">
        <v>811</v>
      </c>
      <c r="C503" s="1" t="s">
        <v>17</v>
      </c>
      <c r="D503" s="1" t="s">
        <v>31</v>
      </c>
      <c r="E503" s="1" t="s">
        <v>32</v>
      </c>
      <c r="F503" s="1">
        <v>25139.77</v>
      </c>
      <c r="G503" s="1">
        <v>5770.69</v>
      </c>
      <c r="H503" s="1">
        <v>770</v>
      </c>
    </row>
    <row r="504" spans="1:8" x14ac:dyDescent="0.35">
      <c r="A504" s="1" t="s">
        <v>812</v>
      </c>
      <c r="B504" s="1" t="s">
        <v>813</v>
      </c>
      <c r="C504" s="1" t="s">
        <v>17</v>
      </c>
      <c r="D504" s="1" t="s">
        <v>43</v>
      </c>
      <c r="E504" s="1" t="s">
        <v>47</v>
      </c>
      <c r="F504" s="1">
        <v>26202.12</v>
      </c>
      <c r="G504" s="1">
        <v>1365.93</v>
      </c>
      <c r="H504" s="1">
        <v>1139</v>
      </c>
    </row>
    <row r="505" spans="1:8" x14ac:dyDescent="0.35">
      <c r="A505" s="1" t="s">
        <v>506</v>
      </c>
      <c r="B505" s="1" t="s">
        <v>814</v>
      </c>
      <c r="C505" s="1" t="s">
        <v>17</v>
      </c>
      <c r="D505" s="1" t="s">
        <v>18</v>
      </c>
      <c r="E505" s="1" t="s">
        <v>92</v>
      </c>
      <c r="F505" s="1">
        <v>2857.53</v>
      </c>
      <c r="G505" s="1">
        <v>220.51</v>
      </c>
      <c r="H505" s="1">
        <v>1225</v>
      </c>
    </row>
    <row r="506" spans="1:8" x14ac:dyDescent="0.35">
      <c r="A506" s="1" t="s">
        <v>557</v>
      </c>
      <c r="B506" s="1" t="s">
        <v>815</v>
      </c>
      <c r="C506" s="1" t="s">
        <v>30</v>
      </c>
      <c r="D506" s="1" t="s">
        <v>43</v>
      </c>
      <c r="E506" s="1" t="s">
        <v>44</v>
      </c>
      <c r="F506" s="1">
        <v>18531.84</v>
      </c>
      <c r="G506" s="1">
        <v>3552.62</v>
      </c>
      <c r="H506" s="1">
        <v>172</v>
      </c>
    </row>
    <row r="507" spans="1:8" x14ac:dyDescent="0.35">
      <c r="A507" s="1" t="s">
        <v>145</v>
      </c>
      <c r="B507" s="1" t="s">
        <v>816</v>
      </c>
      <c r="C507" s="1" t="s">
        <v>9</v>
      </c>
      <c r="D507" s="1" t="s">
        <v>43</v>
      </c>
      <c r="E507" s="1" t="s">
        <v>44</v>
      </c>
      <c r="F507" s="1">
        <v>17925.57</v>
      </c>
      <c r="G507" s="1">
        <v>3894.8</v>
      </c>
      <c r="H507" s="1">
        <v>1323</v>
      </c>
    </row>
    <row r="508" spans="1:8" x14ac:dyDescent="0.35">
      <c r="A508" s="1" t="s">
        <v>480</v>
      </c>
      <c r="B508" s="1" t="s">
        <v>817</v>
      </c>
      <c r="C508" s="1" t="s">
        <v>9</v>
      </c>
      <c r="D508" s="1" t="s">
        <v>10</v>
      </c>
      <c r="E508" s="1" t="s">
        <v>40</v>
      </c>
      <c r="F508" s="1">
        <v>8962.27</v>
      </c>
      <c r="G508" s="1">
        <v>1674.98</v>
      </c>
      <c r="H508" s="1">
        <v>1261</v>
      </c>
    </row>
    <row r="509" spans="1:8" x14ac:dyDescent="0.35">
      <c r="A509" s="1" t="s">
        <v>415</v>
      </c>
      <c r="B509" s="1" t="s">
        <v>818</v>
      </c>
      <c r="C509" s="1" t="s">
        <v>9</v>
      </c>
      <c r="D509" s="1" t="s">
        <v>10</v>
      </c>
      <c r="E509" s="1" t="s">
        <v>14</v>
      </c>
      <c r="F509" s="1">
        <v>8922.83</v>
      </c>
      <c r="G509" s="1">
        <v>1880.76</v>
      </c>
      <c r="H509" s="1">
        <v>424</v>
      </c>
    </row>
    <row r="510" spans="1:8" x14ac:dyDescent="0.35">
      <c r="A510" s="1" t="s">
        <v>819</v>
      </c>
      <c r="B510" s="1" t="s">
        <v>820</v>
      </c>
      <c r="C510" s="1" t="s">
        <v>9</v>
      </c>
      <c r="D510" s="1" t="s">
        <v>18</v>
      </c>
      <c r="E510" s="1" t="s">
        <v>25</v>
      </c>
      <c r="F510" s="1">
        <v>10030.219999999999</v>
      </c>
      <c r="G510" s="1">
        <v>1010.37</v>
      </c>
      <c r="H510" s="1">
        <v>516</v>
      </c>
    </row>
    <row r="511" spans="1:8" x14ac:dyDescent="0.35">
      <c r="A511" s="1" t="s">
        <v>821</v>
      </c>
      <c r="B511" s="1" t="s">
        <v>822</v>
      </c>
      <c r="C511" s="1" t="s">
        <v>17</v>
      </c>
      <c r="D511" s="1" t="s">
        <v>18</v>
      </c>
      <c r="E511" s="1" t="s">
        <v>19</v>
      </c>
      <c r="F511" s="1">
        <v>27544.25</v>
      </c>
      <c r="G511" s="1">
        <v>6148.98</v>
      </c>
      <c r="H511" s="1">
        <v>44</v>
      </c>
    </row>
    <row r="512" spans="1:8" x14ac:dyDescent="0.35">
      <c r="A512" s="1" t="s">
        <v>72</v>
      </c>
      <c r="B512" s="1" t="s">
        <v>823</v>
      </c>
      <c r="C512" s="1" t="s">
        <v>9</v>
      </c>
      <c r="D512" s="1" t="s">
        <v>43</v>
      </c>
      <c r="E512" s="1" t="s">
        <v>50</v>
      </c>
      <c r="F512" s="1">
        <v>7835.72</v>
      </c>
      <c r="G512" s="1">
        <v>1614.39</v>
      </c>
      <c r="H512" s="1">
        <v>1513</v>
      </c>
    </row>
    <row r="513" spans="1:8" x14ac:dyDescent="0.35">
      <c r="A513" s="1" t="s">
        <v>431</v>
      </c>
      <c r="B513" s="1" t="s">
        <v>824</v>
      </c>
      <c r="C513" s="1" t="s">
        <v>60</v>
      </c>
      <c r="D513" s="1" t="s">
        <v>10</v>
      </c>
      <c r="E513" s="1" t="s">
        <v>11</v>
      </c>
      <c r="F513" s="1">
        <v>31910.61</v>
      </c>
      <c r="G513" s="1">
        <v>3327.41</v>
      </c>
      <c r="H513" s="1">
        <v>1926</v>
      </c>
    </row>
    <row r="514" spans="1:8" x14ac:dyDescent="0.35">
      <c r="A514" s="1" t="s">
        <v>825</v>
      </c>
      <c r="B514" s="1" t="s">
        <v>826</v>
      </c>
      <c r="C514" s="1" t="s">
        <v>17</v>
      </c>
      <c r="D514" s="1" t="s">
        <v>43</v>
      </c>
      <c r="E514" s="1" t="s">
        <v>44</v>
      </c>
      <c r="F514" s="1">
        <v>23519.75</v>
      </c>
      <c r="G514" s="1">
        <v>2570.67</v>
      </c>
      <c r="H514" s="1">
        <v>860</v>
      </c>
    </row>
    <row r="515" spans="1:8" x14ac:dyDescent="0.35">
      <c r="A515" s="1" t="s">
        <v>68</v>
      </c>
      <c r="B515" s="1" t="s">
        <v>827</v>
      </c>
      <c r="C515" s="1" t="s">
        <v>60</v>
      </c>
      <c r="D515" s="1" t="s">
        <v>10</v>
      </c>
      <c r="E515" s="1" t="s">
        <v>40</v>
      </c>
      <c r="F515" s="1">
        <v>31495.99</v>
      </c>
      <c r="G515" s="1">
        <v>6087.24</v>
      </c>
      <c r="H515" s="1">
        <v>945</v>
      </c>
    </row>
    <row r="516" spans="1:8" x14ac:dyDescent="0.35">
      <c r="A516" s="1" t="s">
        <v>828</v>
      </c>
      <c r="B516" s="1" t="s">
        <v>829</v>
      </c>
      <c r="C516" s="1" t="s">
        <v>60</v>
      </c>
      <c r="D516" s="1" t="s">
        <v>43</v>
      </c>
      <c r="E516" s="1" t="s">
        <v>111</v>
      </c>
      <c r="F516" s="1">
        <v>29611.35</v>
      </c>
      <c r="G516" s="1">
        <v>6755.13</v>
      </c>
      <c r="H516" s="1">
        <v>314</v>
      </c>
    </row>
    <row r="517" spans="1:8" x14ac:dyDescent="0.35">
      <c r="A517" s="1" t="s">
        <v>675</v>
      </c>
      <c r="B517" s="1" t="s">
        <v>830</v>
      </c>
      <c r="C517" s="1" t="s">
        <v>30</v>
      </c>
      <c r="D517" s="1" t="s">
        <v>43</v>
      </c>
      <c r="E517" s="1" t="s">
        <v>111</v>
      </c>
      <c r="F517" s="1">
        <v>48197.2</v>
      </c>
      <c r="G517" s="1">
        <v>2986.12</v>
      </c>
      <c r="H517" s="1">
        <v>84</v>
      </c>
    </row>
    <row r="518" spans="1:8" x14ac:dyDescent="0.35">
      <c r="A518" s="1" t="s">
        <v>651</v>
      </c>
      <c r="B518" s="1" t="s">
        <v>831</v>
      </c>
      <c r="C518" s="1" t="s">
        <v>9</v>
      </c>
      <c r="D518" s="1" t="s">
        <v>43</v>
      </c>
      <c r="E518" s="1" t="s">
        <v>111</v>
      </c>
      <c r="F518" s="1">
        <v>9525.01</v>
      </c>
      <c r="G518" s="1">
        <v>1886.37</v>
      </c>
      <c r="H518" s="1">
        <v>1293</v>
      </c>
    </row>
    <row r="519" spans="1:8" x14ac:dyDescent="0.35">
      <c r="A519" s="1" t="s">
        <v>213</v>
      </c>
      <c r="B519" s="1" t="s">
        <v>832</v>
      </c>
      <c r="C519" s="1" t="s">
        <v>30</v>
      </c>
      <c r="D519" s="1" t="s">
        <v>10</v>
      </c>
      <c r="E519" s="1" t="s">
        <v>22</v>
      </c>
      <c r="F519" s="1">
        <v>26146.57</v>
      </c>
      <c r="G519" s="1">
        <v>5917.37</v>
      </c>
      <c r="H519" s="1">
        <v>1713</v>
      </c>
    </row>
    <row r="520" spans="1:8" x14ac:dyDescent="0.35">
      <c r="A520" s="1" t="s">
        <v>70</v>
      </c>
      <c r="B520" s="1" t="s">
        <v>833</v>
      </c>
      <c r="C520" s="1" t="s">
        <v>9</v>
      </c>
      <c r="D520" s="1" t="s">
        <v>18</v>
      </c>
      <c r="E520" s="1" t="s">
        <v>61</v>
      </c>
      <c r="F520" s="1">
        <v>34452.5</v>
      </c>
      <c r="G520" s="1">
        <v>8010.08</v>
      </c>
      <c r="H520" s="1">
        <v>709</v>
      </c>
    </row>
    <row r="521" spans="1:8" x14ac:dyDescent="0.35">
      <c r="A521" s="1" t="s">
        <v>78</v>
      </c>
      <c r="B521" s="1" t="s">
        <v>834</v>
      </c>
      <c r="C521" s="1" t="s">
        <v>17</v>
      </c>
      <c r="D521" s="1" t="s">
        <v>31</v>
      </c>
      <c r="E521" s="1" t="s">
        <v>53</v>
      </c>
      <c r="F521" s="1">
        <v>25641.06</v>
      </c>
      <c r="G521" s="1">
        <v>3350.41</v>
      </c>
      <c r="H521" s="1">
        <v>1118</v>
      </c>
    </row>
    <row r="522" spans="1:8" x14ac:dyDescent="0.35">
      <c r="A522" s="1" t="s">
        <v>645</v>
      </c>
      <c r="B522" s="1" t="s">
        <v>835</v>
      </c>
      <c r="C522" s="1" t="s">
        <v>60</v>
      </c>
      <c r="D522" s="1" t="s">
        <v>31</v>
      </c>
      <c r="E522" s="1" t="s">
        <v>77</v>
      </c>
      <c r="F522" s="1">
        <v>33915.49</v>
      </c>
      <c r="G522" s="1">
        <v>4592.71</v>
      </c>
      <c r="H522" s="1">
        <v>1580</v>
      </c>
    </row>
    <row r="523" spans="1:8" x14ac:dyDescent="0.35">
      <c r="A523" s="1" t="s">
        <v>836</v>
      </c>
      <c r="B523" s="1" t="s">
        <v>837</v>
      </c>
      <c r="C523" s="1" t="s">
        <v>9</v>
      </c>
      <c r="D523" s="1" t="s">
        <v>43</v>
      </c>
      <c r="E523" s="1" t="s">
        <v>50</v>
      </c>
      <c r="F523" s="1">
        <v>48346.79</v>
      </c>
      <c r="G523" s="1">
        <v>3597.86</v>
      </c>
      <c r="H523" s="1">
        <v>1193</v>
      </c>
    </row>
    <row r="524" spans="1:8" x14ac:dyDescent="0.35">
      <c r="A524" s="1" t="s">
        <v>211</v>
      </c>
      <c r="B524" s="1" t="s">
        <v>838</v>
      </c>
      <c r="C524" s="1" t="s">
        <v>60</v>
      </c>
      <c r="D524" s="1" t="s">
        <v>43</v>
      </c>
      <c r="E524" s="1" t="s">
        <v>47</v>
      </c>
      <c r="F524" s="1">
        <v>36976.11</v>
      </c>
      <c r="G524" s="1">
        <v>8821.8799999999992</v>
      </c>
      <c r="H524" s="1">
        <v>710</v>
      </c>
    </row>
    <row r="525" spans="1:8" x14ac:dyDescent="0.35">
      <c r="A525" s="1" t="s">
        <v>839</v>
      </c>
      <c r="B525" s="1" t="s">
        <v>840</v>
      </c>
      <c r="C525" s="1" t="s">
        <v>30</v>
      </c>
      <c r="D525" s="1" t="s">
        <v>43</v>
      </c>
      <c r="E525" s="1" t="s">
        <v>44</v>
      </c>
      <c r="F525" s="1">
        <v>5346.52</v>
      </c>
      <c r="G525" s="1">
        <v>600.71</v>
      </c>
      <c r="H525" s="1">
        <v>888</v>
      </c>
    </row>
    <row r="526" spans="1:8" x14ac:dyDescent="0.35">
      <c r="A526" s="1" t="s">
        <v>458</v>
      </c>
      <c r="B526" s="1" t="s">
        <v>841</v>
      </c>
      <c r="C526" s="1" t="s">
        <v>17</v>
      </c>
      <c r="D526" s="1" t="s">
        <v>18</v>
      </c>
      <c r="E526" s="1" t="s">
        <v>25</v>
      </c>
      <c r="F526" s="1">
        <v>15051.84</v>
      </c>
      <c r="G526" s="1">
        <v>2711.89</v>
      </c>
      <c r="H526" s="1">
        <v>340</v>
      </c>
    </row>
    <row r="527" spans="1:8" x14ac:dyDescent="0.35">
      <c r="A527" s="1" t="s">
        <v>842</v>
      </c>
      <c r="B527" s="1" t="s">
        <v>843</v>
      </c>
      <c r="C527" s="1" t="s">
        <v>30</v>
      </c>
      <c r="D527" s="1" t="s">
        <v>31</v>
      </c>
      <c r="E527" s="1" t="s">
        <v>53</v>
      </c>
      <c r="F527" s="1">
        <v>19986.189999999999</v>
      </c>
      <c r="G527" s="1">
        <v>4146.07</v>
      </c>
      <c r="H527" s="1">
        <v>1391</v>
      </c>
    </row>
    <row r="528" spans="1:8" x14ac:dyDescent="0.35">
      <c r="A528" s="1" t="s">
        <v>547</v>
      </c>
      <c r="B528" s="1" t="s">
        <v>844</v>
      </c>
      <c r="C528" s="1" t="s">
        <v>17</v>
      </c>
      <c r="D528" s="1" t="s">
        <v>18</v>
      </c>
      <c r="E528" s="1" t="s">
        <v>25</v>
      </c>
      <c r="F528" s="1">
        <v>31338.3</v>
      </c>
      <c r="G528" s="1">
        <v>4614.8599999999997</v>
      </c>
      <c r="H528" s="1">
        <v>260</v>
      </c>
    </row>
    <row r="529" spans="1:8" x14ac:dyDescent="0.35">
      <c r="A529" s="1" t="s">
        <v>404</v>
      </c>
      <c r="B529" s="1" t="s">
        <v>845</v>
      </c>
      <c r="C529" s="1" t="s">
        <v>30</v>
      </c>
      <c r="D529" s="1" t="s">
        <v>10</v>
      </c>
      <c r="E529" s="1" t="s">
        <v>22</v>
      </c>
      <c r="F529" s="1">
        <v>13346.22</v>
      </c>
      <c r="G529" s="1">
        <v>1224.82</v>
      </c>
      <c r="H529" s="1">
        <v>1509</v>
      </c>
    </row>
    <row r="530" spans="1:8" x14ac:dyDescent="0.35">
      <c r="A530" s="1" t="s">
        <v>410</v>
      </c>
      <c r="B530" s="1" t="s">
        <v>846</v>
      </c>
      <c r="C530" s="1" t="s">
        <v>9</v>
      </c>
      <c r="D530" s="1" t="s">
        <v>18</v>
      </c>
      <c r="E530" s="1" t="s">
        <v>92</v>
      </c>
      <c r="F530" s="1">
        <v>28618.97</v>
      </c>
      <c r="G530" s="1">
        <v>5805.15</v>
      </c>
      <c r="H530" s="1">
        <v>1703</v>
      </c>
    </row>
    <row r="531" spans="1:8" x14ac:dyDescent="0.35">
      <c r="A531" s="1" t="s">
        <v>675</v>
      </c>
      <c r="B531" s="1" t="s">
        <v>847</v>
      </c>
      <c r="C531" s="1" t="s">
        <v>30</v>
      </c>
      <c r="D531" s="1" t="s">
        <v>31</v>
      </c>
      <c r="E531" s="1" t="s">
        <v>32</v>
      </c>
      <c r="F531" s="1">
        <v>20725.88</v>
      </c>
      <c r="G531" s="1">
        <v>5058.24</v>
      </c>
      <c r="H531" s="1">
        <v>1030</v>
      </c>
    </row>
    <row r="532" spans="1:8" x14ac:dyDescent="0.35">
      <c r="A532" s="1" t="s">
        <v>421</v>
      </c>
      <c r="B532" s="1" t="s">
        <v>848</v>
      </c>
      <c r="C532" s="1" t="s">
        <v>60</v>
      </c>
      <c r="D532" s="1" t="s">
        <v>10</v>
      </c>
      <c r="E532" s="1" t="s">
        <v>40</v>
      </c>
      <c r="F532" s="1">
        <v>21453.24</v>
      </c>
      <c r="G532" s="1">
        <v>2722.36</v>
      </c>
      <c r="H532" s="1">
        <v>52</v>
      </c>
    </row>
    <row r="533" spans="1:8" x14ac:dyDescent="0.35">
      <c r="A533" s="1" t="s">
        <v>704</v>
      </c>
      <c r="B533" s="1" t="s">
        <v>849</v>
      </c>
      <c r="C533" s="1" t="s">
        <v>9</v>
      </c>
      <c r="D533" s="1" t="s">
        <v>43</v>
      </c>
      <c r="E533" s="1" t="s">
        <v>44</v>
      </c>
      <c r="F533" s="1">
        <v>10170.64</v>
      </c>
      <c r="G533" s="1">
        <v>771.69</v>
      </c>
      <c r="H533" s="1">
        <v>1330</v>
      </c>
    </row>
    <row r="534" spans="1:8" x14ac:dyDescent="0.35">
      <c r="A534" s="1" t="s">
        <v>245</v>
      </c>
      <c r="B534" s="1" t="s">
        <v>850</v>
      </c>
      <c r="C534" s="1" t="s">
        <v>60</v>
      </c>
      <c r="D534" s="1" t="s">
        <v>18</v>
      </c>
      <c r="E534" s="1" t="s">
        <v>25</v>
      </c>
      <c r="F534" s="1">
        <v>33843.03</v>
      </c>
      <c r="G534" s="1">
        <v>3486.61</v>
      </c>
      <c r="H534" s="1">
        <v>1782</v>
      </c>
    </row>
    <row r="535" spans="1:8" x14ac:dyDescent="0.35">
      <c r="A535" s="1" t="s">
        <v>851</v>
      </c>
      <c r="B535" s="1" t="s">
        <v>852</v>
      </c>
      <c r="C535" s="1" t="s">
        <v>9</v>
      </c>
      <c r="D535" s="1" t="s">
        <v>18</v>
      </c>
      <c r="E535" s="1" t="s">
        <v>25</v>
      </c>
      <c r="F535" s="1">
        <v>31029</v>
      </c>
      <c r="G535" s="1">
        <v>5203.72</v>
      </c>
      <c r="H535" s="1">
        <v>1425</v>
      </c>
    </row>
    <row r="536" spans="1:8" x14ac:dyDescent="0.35">
      <c r="A536" s="1" t="s">
        <v>449</v>
      </c>
      <c r="B536" s="1" t="s">
        <v>853</v>
      </c>
      <c r="C536" s="1" t="s">
        <v>9</v>
      </c>
      <c r="D536" s="1" t="s">
        <v>18</v>
      </c>
      <c r="E536" s="1" t="s">
        <v>19</v>
      </c>
      <c r="F536" s="1">
        <v>24107.67</v>
      </c>
      <c r="G536" s="1">
        <v>5188.97</v>
      </c>
      <c r="H536" s="1">
        <v>1767</v>
      </c>
    </row>
    <row r="537" spans="1:8" x14ac:dyDescent="0.35">
      <c r="A537" s="1" t="s">
        <v>233</v>
      </c>
      <c r="B537" s="1" t="s">
        <v>854</v>
      </c>
      <c r="C537" s="1" t="s">
        <v>17</v>
      </c>
      <c r="D537" s="1" t="s">
        <v>43</v>
      </c>
      <c r="E537" s="1" t="s">
        <v>44</v>
      </c>
      <c r="F537" s="1">
        <v>863.92</v>
      </c>
      <c r="G537" s="1">
        <v>105.26</v>
      </c>
      <c r="H537" s="1">
        <v>1885</v>
      </c>
    </row>
    <row r="538" spans="1:8" x14ac:dyDescent="0.35">
      <c r="A538" s="1" t="s">
        <v>393</v>
      </c>
      <c r="B538" s="1" t="s">
        <v>855</v>
      </c>
      <c r="C538" s="1" t="s">
        <v>9</v>
      </c>
      <c r="D538" s="1" t="s">
        <v>31</v>
      </c>
      <c r="E538" s="1" t="s">
        <v>32</v>
      </c>
      <c r="F538" s="1">
        <v>5463.68</v>
      </c>
      <c r="G538" s="1">
        <v>467.13</v>
      </c>
      <c r="H538" s="1">
        <v>1958</v>
      </c>
    </row>
    <row r="539" spans="1:8" x14ac:dyDescent="0.35">
      <c r="A539" s="1" t="s">
        <v>564</v>
      </c>
      <c r="B539" s="1" t="s">
        <v>856</v>
      </c>
      <c r="C539" s="1" t="s">
        <v>30</v>
      </c>
      <c r="D539" s="1" t="s">
        <v>43</v>
      </c>
      <c r="E539" s="1" t="s">
        <v>50</v>
      </c>
      <c r="F539" s="1">
        <v>17605.259999999998</v>
      </c>
      <c r="G539" s="1">
        <v>1249.6199999999999</v>
      </c>
      <c r="H539" s="1">
        <v>192</v>
      </c>
    </row>
    <row r="540" spans="1:8" x14ac:dyDescent="0.35">
      <c r="A540" s="1" t="s">
        <v>770</v>
      </c>
      <c r="B540" s="1" t="s">
        <v>857</v>
      </c>
      <c r="C540" s="1" t="s">
        <v>30</v>
      </c>
      <c r="D540" s="1" t="s">
        <v>43</v>
      </c>
      <c r="E540" s="1" t="s">
        <v>47</v>
      </c>
      <c r="F540" s="1">
        <v>5846.29</v>
      </c>
      <c r="G540" s="1">
        <v>504.18</v>
      </c>
      <c r="H540" s="1">
        <v>243</v>
      </c>
    </row>
    <row r="541" spans="1:8" x14ac:dyDescent="0.35">
      <c r="A541" s="1" t="s">
        <v>858</v>
      </c>
      <c r="B541" s="1" t="s">
        <v>859</v>
      </c>
      <c r="C541" s="1" t="s">
        <v>60</v>
      </c>
      <c r="D541" s="1" t="s">
        <v>31</v>
      </c>
      <c r="E541" s="1" t="s">
        <v>77</v>
      </c>
      <c r="F541" s="1">
        <v>11414.29</v>
      </c>
      <c r="G541" s="1">
        <v>1540.06</v>
      </c>
      <c r="H541" s="1">
        <v>131</v>
      </c>
    </row>
    <row r="542" spans="1:8" x14ac:dyDescent="0.35">
      <c r="A542" s="1" t="s">
        <v>860</v>
      </c>
      <c r="B542" s="1" t="s">
        <v>861</v>
      </c>
      <c r="C542" s="1" t="s">
        <v>9</v>
      </c>
      <c r="D542" s="1" t="s">
        <v>43</v>
      </c>
      <c r="E542" s="1" t="s">
        <v>44</v>
      </c>
      <c r="F542" s="1">
        <v>36454.639999999999</v>
      </c>
      <c r="G542" s="1">
        <v>2192.56</v>
      </c>
      <c r="H542" s="1">
        <v>1003</v>
      </c>
    </row>
    <row r="543" spans="1:8" x14ac:dyDescent="0.35">
      <c r="A543" s="1" t="s">
        <v>345</v>
      </c>
      <c r="B543" s="1" t="s">
        <v>862</v>
      </c>
      <c r="C543" s="1" t="s">
        <v>9</v>
      </c>
      <c r="D543" s="1" t="s">
        <v>43</v>
      </c>
      <c r="E543" s="1" t="s">
        <v>44</v>
      </c>
      <c r="F543" s="1">
        <v>18590.36</v>
      </c>
      <c r="G543" s="1">
        <v>1195.54</v>
      </c>
      <c r="H543" s="1">
        <v>734</v>
      </c>
    </row>
    <row r="544" spans="1:8" x14ac:dyDescent="0.35">
      <c r="A544" s="1" t="s">
        <v>122</v>
      </c>
      <c r="B544" s="1" t="s">
        <v>863</v>
      </c>
      <c r="C544" s="1" t="s">
        <v>60</v>
      </c>
      <c r="D544" s="1" t="s">
        <v>10</v>
      </c>
      <c r="E544" s="1" t="s">
        <v>22</v>
      </c>
      <c r="F544" s="1">
        <v>37975.660000000003</v>
      </c>
      <c r="G544" s="1">
        <v>4076.66</v>
      </c>
      <c r="H544" s="1">
        <v>1537</v>
      </c>
    </row>
    <row r="545" spans="1:8" x14ac:dyDescent="0.35">
      <c r="A545" s="1" t="s">
        <v>241</v>
      </c>
      <c r="B545" s="1" t="s">
        <v>864</v>
      </c>
      <c r="C545" s="1" t="s">
        <v>17</v>
      </c>
      <c r="D545" s="1" t="s">
        <v>10</v>
      </c>
      <c r="E545" s="1" t="s">
        <v>11</v>
      </c>
      <c r="F545" s="1">
        <v>44507.23</v>
      </c>
      <c r="G545" s="1">
        <v>8736.24</v>
      </c>
      <c r="H545" s="1">
        <v>312</v>
      </c>
    </row>
    <row r="546" spans="1:8" x14ac:dyDescent="0.35">
      <c r="A546" s="1" t="s">
        <v>530</v>
      </c>
      <c r="B546" s="1" t="s">
        <v>865</v>
      </c>
      <c r="C546" s="1" t="s">
        <v>9</v>
      </c>
      <c r="D546" s="1" t="s">
        <v>18</v>
      </c>
      <c r="E546" s="1" t="s">
        <v>19</v>
      </c>
      <c r="F546" s="1">
        <v>12082.82</v>
      </c>
      <c r="G546" s="1">
        <v>2063.23</v>
      </c>
      <c r="H546" s="1">
        <v>1429</v>
      </c>
    </row>
    <row r="547" spans="1:8" x14ac:dyDescent="0.35">
      <c r="A547" s="1" t="s">
        <v>86</v>
      </c>
      <c r="B547" s="1" t="s">
        <v>866</v>
      </c>
      <c r="C547" s="1" t="s">
        <v>30</v>
      </c>
      <c r="D547" s="1" t="s">
        <v>43</v>
      </c>
      <c r="E547" s="1" t="s">
        <v>44</v>
      </c>
      <c r="F547" s="1">
        <v>14562.76</v>
      </c>
      <c r="G547" s="1">
        <v>1449.95</v>
      </c>
      <c r="H547" s="1">
        <v>173</v>
      </c>
    </row>
    <row r="548" spans="1:8" x14ac:dyDescent="0.35">
      <c r="A548" s="1" t="s">
        <v>162</v>
      </c>
      <c r="B548" s="1" t="s">
        <v>867</v>
      </c>
      <c r="C548" s="1" t="s">
        <v>30</v>
      </c>
      <c r="D548" s="1" t="s">
        <v>43</v>
      </c>
      <c r="E548" s="1" t="s">
        <v>50</v>
      </c>
      <c r="F548" s="1">
        <v>22016.03</v>
      </c>
      <c r="G548" s="1">
        <v>2537.2199999999998</v>
      </c>
      <c r="H548" s="1">
        <v>161</v>
      </c>
    </row>
    <row r="549" spans="1:8" x14ac:dyDescent="0.35">
      <c r="A549" s="1" t="s">
        <v>779</v>
      </c>
      <c r="B549" s="1" t="s">
        <v>868</v>
      </c>
      <c r="C549" s="1" t="s">
        <v>9</v>
      </c>
      <c r="D549" s="1" t="s">
        <v>43</v>
      </c>
      <c r="E549" s="1" t="s">
        <v>50</v>
      </c>
      <c r="F549" s="1">
        <v>26489.16</v>
      </c>
      <c r="G549" s="1">
        <v>3927.15</v>
      </c>
      <c r="H549" s="1">
        <v>1195</v>
      </c>
    </row>
    <row r="550" spans="1:8" x14ac:dyDescent="0.35">
      <c r="A550" s="1" t="s">
        <v>869</v>
      </c>
      <c r="B550" s="1" t="s">
        <v>870</v>
      </c>
      <c r="C550" s="1" t="s">
        <v>60</v>
      </c>
      <c r="D550" s="1" t="s">
        <v>43</v>
      </c>
      <c r="E550" s="1" t="s">
        <v>44</v>
      </c>
      <c r="F550" s="1">
        <v>41442.99</v>
      </c>
      <c r="G550" s="1">
        <v>4830.66</v>
      </c>
      <c r="H550" s="1">
        <v>1675</v>
      </c>
    </row>
    <row r="551" spans="1:8" x14ac:dyDescent="0.35">
      <c r="A551" s="1" t="s">
        <v>506</v>
      </c>
      <c r="B551" s="1" t="s">
        <v>871</v>
      </c>
      <c r="C551" s="1" t="s">
        <v>30</v>
      </c>
      <c r="D551" s="1" t="s">
        <v>43</v>
      </c>
      <c r="E551" s="1" t="s">
        <v>111</v>
      </c>
      <c r="F551" s="1">
        <v>7304.22</v>
      </c>
      <c r="G551" s="1">
        <v>847.21</v>
      </c>
      <c r="H551" s="1">
        <v>1738</v>
      </c>
    </row>
    <row r="552" spans="1:8" x14ac:dyDescent="0.35">
      <c r="A552" s="1" t="s">
        <v>872</v>
      </c>
      <c r="B552" s="1" t="s">
        <v>873</v>
      </c>
      <c r="C552" s="1" t="s">
        <v>17</v>
      </c>
      <c r="D552" s="1" t="s">
        <v>18</v>
      </c>
      <c r="E552" s="1" t="s">
        <v>92</v>
      </c>
      <c r="F552" s="1">
        <v>46031.55</v>
      </c>
      <c r="G552" s="1">
        <v>3504.41</v>
      </c>
      <c r="H552" s="1">
        <v>1211</v>
      </c>
    </row>
    <row r="553" spans="1:8" x14ac:dyDescent="0.35">
      <c r="A553" s="1" t="s">
        <v>298</v>
      </c>
      <c r="B553" s="1" t="s">
        <v>874</v>
      </c>
      <c r="C553" s="1" t="s">
        <v>9</v>
      </c>
      <c r="D553" s="1" t="s">
        <v>18</v>
      </c>
      <c r="E553" s="1" t="s">
        <v>92</v>
      </c>
      <c r="F553" s="1">
        <v>826.37</v>
      </c>
      <c r="G553" s="1">
        <v>70.599999999999994</v>
      </c>
      <c r="H553" s="1">
        <v>624</v>
      </c>
    </row>
    <row r="554" spans="1:8" x14ac:dyDescent="0.35">
      <c r="A554" s="1" t="s">
        <v>266</v>
      </c>
      <c r="B554" s="1" t="s">
        <v>875</v>
      </c>
      <c r="C554" s="1" t="s">
        <v>9</v>
      </c>
      <c r="D554" s="1" t="s">
        <v>10</v>
      </c>
      <c r="E554" s="1" t="s">
        <v>14</v>
      </c>
      <c r="F554" s="1">
        <v>39770.99</v>
      </c>
      <c r="G554" s="1">
        <v>8971.57</v>
      </c>
      <c r="H554" s="1">
        <v>1387</v>
      </c>
    </row>
    <row r="555" spans="1:8" x14ac:dyDescent="0.35">
      <c r="A555" s="1" t="s">
        <v>417</v>
      </c>
      <c r="B555" s="1" t="s">
        <v>876</v>
      </c>
      <c r="C555" s="1" t="s">
        <v>30</v>
      </c>
      <c r="D555" s="1" t="s">
        <v>31</v>
      </c>
      <c r="E555" s="1" t="s">
        <v>77</v>
      </c>
      <c r="F555" s="1">
        <v>36655.160000000003</v>
      </c>
      <c r="G555" s="1">
        <v>7807.27</v>
      </c>
      <c r="H555" s="1">
        <v>1770</v>
      </c>
    </row>
    <row r="556" spans="1:8" x14ac:dyDescent="0.35">
      <c r="A556" s="1" t="s">
        <v>770</v>
      </c>
      <c r="B556" s="1" t="s">
        <v>877</v>
      </c>
      <c r="C556" s="1" t="s">
        <v>9</v>
      </c>
      <c r="D556" s="1" t="s">
        <v>43</v>
      </c>
      <c r="E556" s="1" t="s">
        <v>50</v>
      </c>
      <c r="F556" s="1">
        <v>39669.06</v>
      </c>
      <c r="G556" s="1">
        <v>4055.51</v>
      </c>
      <c r="H556" s="1">
        <v>712</v>
      </c>
    </row>
    <row r="557" spans="1:8" x14ac:dyDescent="0.35">
      <c r="A557" s="1" t="s">
        <v>613</v>
      </c>
      <c r="B557" s="1" t="s">
        <v>878</v>
      </c>
      <c r="C557" s="1" t="s">
        <v>30</v>
      </c>
      <c r="D557" s="1" t="s">
        <v>31</v>
      </c>
      <c r="E557" s="1" t="s">
        <v>74</v>
      </c>
      <c r="F557" s="1">
        <v>44171.88</v>
      </c>
      <c r="G557" s="1">
        <v>3219.97</v>
      </c>
      <c r="H557" s="1">
        <v>1644</v>
      </c>
    </row>
    <row r="558" spans="1:8" x14ac:dyDescent="0.35">
      <c r="A558" s="1" t="s">
        <v>879</v>
      </c>
      <c r="B558" s="1" t="s">
        <v>880</v>
      </c>
      <c r="C558" s="1" t="s">
        <v>9</v>
      </c>
      <c r="D558" s="1" t="s">
        <v>10</v>
      </c>
      <c r="E558" s="1" t="s">
        <v>11</v>
      </c>
      <c r="F558" s="1">
        <v>34080.82</v>
      </c>
      <c r="G558" s="1">
        <v>7185.85</v>
      </c>
      <c r="H558" s="1">
        <v>140</v>
      </c>
    </row>
    <row r="559" spans="1:8" x14ac:dyDescent="0.35">
      <c r="A559" s="1" t="s">
        <v>881</v>
      </c>
      <c r="B559" s="1" t="s">
        <v>882</v>
      </c>
      <c r="C559" s="1" t="s">
        <v>30</v>
      </c>
      <c r="D559" s="1" t="s">
        <v>10</v>
      </c>
      <c r="E559" s="1" t="s">
        <v>14</v>
      </c>
      <c r="F559" s="1">
        <v>9122.4</v>
      </c>
      <c r="G559" s="1">
        <v>1091.53</v>
      </c>
      <c r="H559" s="1">
        <v>1134</v>
      </c>
    </row>
    <row r="560" spans="1:8" x14ac:dyDescent="0.35">
      <c r="A560" s="1" t="s">
        <v>149</v>
      </c>
      <c r="B560" s="1" t="s">
        <v>883</v>
      </c>
      <c r="C560" s="1" t="s">
        <v>60</v>
      </c>
      <c r="D560" s="1" t="s">
        <v>18</v>
      </c>
      <c r="E560" s="1" t="s">
        <v>61</v>
      </c>
      <c r="F560" s="1">
        <v>18222.07</v>
      </c>
      <c r="G560" s="1">
        <v>3143.32</v>
      </c>
      <c r="H560" s="1">
        <v>1587</v>
      </c>
    </row>
    <row r="561" spans="1:8" x14ac:dyDescent="0.35">
      <c r="A561" s="1" t="s">
        <v>38</v>
      </c>
      <c r="B561" s="1" t="s">
        <v>884</v>
      </c>
      <c r="C561" s="1" t="s">
        <v>60</v>
      </c>
      <c r="D561" s="1" t="s">
        <v>10</v>
      </c>
      <c r="E561" s="1" t="s">
        <v>11</v>
      </c>
      <c r="F561" s="1">
        <v>38903.57</v>
      </c>
      <c r="G561" s="1">
        <v>5672.39</v>
      </c>
      <c r="H561" s="1">
        <v>1425</v>
      </c>
    </row>
    <row r="562" spans="1:8" x14ac:dyDescent="0.35">
      <c r="A562" s="1" t="s">
        <v>261</v>
      </c>
      <c r="B562" s="1" t="s">
        <v>885</v>
      </c>
      <c r="C562" s="1" t="s">
        <v>30</v>
      </c>
      <c r="D562" s="1" t="s">
        <v>10</v>
      </c>
      <c r="E562" s="1" t="s">
        <v>11</v>
      </c>
      <c r="F562" s="1">
        <v>39218.230000000003</v>
      </c>
      <c r="G562" s="1">
        <v>8932.59</v>
      </c>
      <c r="H562" s="1">
        <v>1290</v>
      </c>
    </row>
    <row r="563" spans="1:8" x14ac:dyDescent="0.35">
      <c r="A563" s="1" t="s">
        <v>886</v>
      </c>
      <c r="B563" s="1" t="s">
        <v>887</v>
      </c>
      <c r="C563" s="1" t="s">
        <v>9</v>
      </c>
      <c r="D563" s="1" t="s">
        <v>31</v>
      </c>
      <c r="E563" s="1" t="s">
        <v>53</v>
      </c>
      <c r="F563" s="1">
        <v>20934.310000000001</v>
      </c>
      <c r="G563" s="1">
        <v>2121.23</v>
      </c>
      <c r="H563" s="1">
        <v>1624</v>
      </c>
    </row>
    <row r="564" spans="1:8" x14ac:dyDescent="0.35">
      <c r="A564" s="1" t="s">
        <v>413</v>
      </c>
      <c r="B564" s="1" t="s">
        <v>888</v>
      </c>
      <c r="C564" s="1" t="s">
        <v>30</v>
      </c>
      <c r="D564" s="1" t="s">
        <v>18</v>
      </c>
      <c r="E564" s="1" t="s">
        <v>61</v>
      </c>
      <c r="F564" s="1">
        <v>34180.959999999999</v>
      </c>
      <c r="G564" s="1">
        <v>5084.99</v>
      </c>
      <c r="H564" s="1">
        <v>1083</v>
      </c>
    </row>
    <row r="565" spans="1:8" x14ac:dyDescent="0.35">
      <c r="A565" s="1" t="s">
        <v>819</v>
      </c>
      <c r="B565" s="1" t="s">
        <v>889</v>
      </c>
      <c r="C565" s="1" t="s">
        <v>30</v>
      </c>
      <c r="D565" s="1" t="s">
        <v>31</v>
      </c>
      <c r="E565" s="1" t="s">
        <v>77</v>
      </c>
      <c r="F565" s="1">
        <v>37269.089999999997</v>
      </c>
      <c r="G565" s="1">
        <v>5524.05</v>
      </c>
      <c r="H565" s="1">
        <v>295</v>
      </c>
    </row>
    <row r="566" spans="1:8" x14ac:dyDescent="0.35">
      <c r="A566" s="1" t="s">
        <v>611</v>
      </c>
      <c r="B566" s="1" t="s">
        <v>890</v>
      </c>
      <c r="C566" s="1" t="s">
        <v>9</v>
      </c>
      <c r="D566" s="1" t="s">
        <v>18</v>
      </c>
      <c r="E566" s="1" t="s">
        <v>25</v>
      </c>
      <c r="F566" s="1">
        <v>33633.81</v>
      </c>
      <c r="G566" s="1">
        <v>3846.94</v>
      </c>
      <c r="H566" s="1">
        <v>462</v>
      </c>
    </row>
    <row r="567" spans="1:8" x14ac:dyDescent="0.35">
      <c r="A567" s="1" t="s">
        <v>524</v>
      </c>
      <c r="B567" s="1" t="s">
        <v>891</v>
      </c>
      <c r="C567" s="1" t="s">
        <v>60</v>
      </c>
      <c r="D567" s="1" t="s">
        <v>31</v>
      </c>
      <c r="E567" s="1" t="s">
        <v>53</v>
      </c>
      <c r="F567" s="1">
        <v>16402.060000000001</v>
      </c>
      <c r="G567" s="1">
        <v>1637.97</v>
      </c>
      <c r="H567" s="1">
        <v>140</v>
      </c>
    </row>
    <row r="568" spans="1:8" x14ac:dyDescent="0.35">
      <c r="A568" s="1" t="s">
        <v>632</v>
      </c>
      <c r="B568" s="1" t="s">
        <v>892</v>
      </c>
      <c r="C568" s="1" t="s">
        <v>30</v>
      </c>
      <c r="D568" s="1" t="s">
        <v>18</v>
      </c>
      <c r="E568" s="1" t="s">
        <v>92</v>
      </c>
      <c r="F568" s="1">
        <v>18443.52</v>
      </c>
      <c r="G568" s="1">
        <v>1239.1199999999999</v>
      </c>
      <c r="H568" s="1">
        <v>472</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DASHBOARD</vt:lpstr>
      <vt:lpstr>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FIZA HUT</cp:lastModifiedBy>
  <dcterms:created xsi:type="dcterms:W3CDTF">2026-02-26T05:32:33Z</dcterms:created>
  <dcterms:modified xsi:type="dcterms:W3CDTF">2026-02-26T09:00:42Z</dcterms:modified>
</cp:coreProperties>
</file>